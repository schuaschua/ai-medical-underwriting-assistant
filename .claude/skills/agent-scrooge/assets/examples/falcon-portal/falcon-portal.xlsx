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Override PartName="/xl/worksheets/sheet8.xml" ContentType="application/vnd.openxmlformats-officedocument.spreadsheetml.worksheet+xml"/>
  <Override PartName="/xl/tables/table11.xml" ContentType="application/vnd.openxmlformats-officedocument.spreadsheetml.table+xml"/>
  <Override PartName="/xl/worksheets/sheet9.xml" ContentType="application/vnd.openxmlformats-officedocument.spreadsheetml.worksheet+xml"/>
  <Override PartName="/xl/tables/table12.xml" ContentType="application/vnd.openxmlformats-officedocument.spreadsheetml.table+xml"/>
  <Override PartName="/xl/worksheets/sheet10.xml" ContentType="application/vnd.openxmlformats-officedocument.spreadsheetml.worksheet+xml"/>
  <Override PartName="/xl/tables/table13.xml" ContentType="application/vnd.openxmlformats-officedocument.spreadsheetml.table+xml"/>
  <Override PartName="/xl/worksheets/sheet11.xml" ContentType="application/vnd.openxmlformats-officedocument.spreadsheetml.worksheet+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sheets/sheet15.xml" ContentType="application/vnd.openxmlformats-officedocument.spreadsheetml.worksheet+xml"/>
  <Override PartName="/xl/tables/table18.xml" ContentType="application/vnd.openxmlformats-officedocument.spreadsheetml.table+xml"/>
  <Override PartName="/xl/worksheets/sheet16.xml" ContentType="application/vnd.openxmlformats-officedocument.spreadsheetml.worksheet+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sheetId="1" state="visible" r:id="rId1"/>
    <sheet name="Multi-Year" sheetId="2" state="visible" r:id="rId2"/>
    <sheet name="Epics" sheetId="3" state="visible" r:id="rId3"/>
    <sheet name="Sprints" sheetId="4" state="visible" r:id="rId4"/>
    <sheet name="Phase Budgets" sheetId="5" state="visible" r:id="rId5"/>
    <sheet name="Revenue" sheetId="6" state="visible" r:id="rId6"/>
    <sheet name="Rate Card" sheetId="7" state="visible" r:id="rId7"/>
    <sheet name="Other Costs" sheetId="8" state="visible" r:id="rId8"/>
    <sheet name="Run Costs" sheetId="9" state="visible" r:id="rId9"/>
    <sheet name="Dev" sheetId="10" state="visible" r:id="rId10"/>
    <sheet name="Test" sheetId="11" state="visible" r:id="rId11"/>
    <sheet name="Prod" sheetId="12" state="visible" r:id="rId12"/>
    <sheet name="Claude Prices" sheetId="13" state="visible" r:id="rId13"/>
    <sheet name="Claude Usage" sheetId="14" state="visible" r:id="rId14"/>
    <sheet name="Claude Usage Detail" sheetId="15" state="visible" r:id="rId15"/>
    <sheet name="Claude Usage Daily" sheetId="16" state="visible" r:id="rId16"/>
    <sheet name="Project Timeline" sheetId="17" state="visible" r:id="rId17"/>
    <sheet name="Sources &amp; Gaps" sheetId="18" state="visible" r:id="rId18"/>
  </sheets>
  <definedNames>
    <definedName name="DeliveryDays">Overall!$B$5</definedName>
    <definedName name="WorkingDaysPerMonth">Overall!$B$6</definedName>
    <definedName name="DeliveryMonths">Overall!$B$7</definedName>
    <definedName name="HoursPerMonth">Overall!$B$8</definedName>
    <definedName name="ProjectStart">Overall!$B$9</definedName>
    <definedName name="SprintDays">Overall!$B$10</definedName>
    <definedName name="HorizonYears">Overall!$B$11</definedName>
    <definedName name="CostEscalation">Overall!$B$12</definedName>
    <definedName name="HorizonFactor">Overall!$B$13</definedName>
    <definedName name="Contingency">Overall!$B$14</definedName>
    <definedName name="FxRate">Overall!$B$15</definedName>
    <definedName name="ClaudeFxRate">Overall!$B$16</definedName>
    <definedName name="LastActual">Sprints!$C$3</definedName>
  </definedNames>
  <calcPr calcId="124519" fullCalcOnLoad="1"/>
</workbook>
</file>

<file path=xl/styles.xml><?xml version="1.0" encoding="utf-8"?>
<styleSheet xmlns="http://schemas.openxmlformats.org/spreadsheetml/2006/main">
  <numFmts count="11">
    <numFmt numFmtId="164" formatCode="#,##0.0000"/>
    <numFmt numFmtId="165" formatCode="#,##0.##"/>
    <numFmt numFmtId="166" formatCode="0.0"/>
    <numFmt numFmtId="167" formatCode="yyyy-mm-dd h:mm:ss"/>
    <numFmt numFmtId="168" formatCode="yyyy-mm-dd"/>
    <numFmt numFmtId="169" formatCode="0.0%"/>
    <numFmt numFmtId="170" formatCode="0.0000"/>
    <numFmt numFmtId="171" formatCode="+#,##0;-#,##0;0"/>
    <numFmt numFmtId="172" formatCode="+0.0%;-0.0%;0.0%"/>
    <numFmt numFmtId="173" formatCode="+#,##0.00;-#,##0.00;0.00"/>
    <numFmt numFmtId="174" formatCode="yyyy-mm-dd hh:mm"/>
  </numFmts>
  <fonts count="8">
    <font>
      <name val="Calibri"/>
      <family val="2"/>
      <color theme="1"/>
      <sz val="11"/>
      <scheme val="minor"/>
    </font>
    <font>
      <b val="1"/>
      <sz val="14"/>
    </font>
    <font>
      <b val="1"/>
      <color rgb="00FFFFFF"/>
    </font>
    <font>
      <color rgb="000000FF"/>
    </font>
    <font>
      <b val="1"/>
    </font>
    <font>
      <b val="1"/>
      <color rgb="001F4E78"/>
      <sz val="12"/>
    </font>
    <font>
      <color rgb="00008000"/>
    </font>
    <font>
      <b val="1"/>
      <sz val="12"/>
    </font>
  </fonts>
  <fills count="3">
    <fill>
      <patternFill/>
    </fill>
    <fill>
      <patternFill patternType="gray125"/>
    </fill>
    <fill>
      <patternFill patternType="solid">
        <fgColor rgb="001F4E78"/>
      </patternFill>
    </fill>
  </fills>
  <borders count="2">
    <border>
      <left/>
      <right/>
      <top/>
      <bottom/>
      <diagonal/>
    </border>
    <border>
      <top style="thin"/>
    </border>
  </borders>
  <cellStyleXfs count="1">
    <xf numFmtId="0" fontId="0" fillId="0" borderId="0"/>
  </cellStyleXfs>
  <cellXfs count="40">
    <xf numFmtId="0" fontId="0" fillId="0" borderId="0" pivotButton="0" quotePrefix="0" xfId="0"/>
    <xf numFmtId="0" fontId="1" fillId="0" borderId="0" pivotButton="0" quotePrefix="0" xfId="0"/>
    <xf numFmtId="0" fontId="5" fillId="0" borderId="0" pivotButton="0" quotePrefix="0" xfId="0"/>
    <xf numFmtId="0" fontId="2" fillId="2" borderId="0" applyAlignment="1" pivotButton="0" quotePrefix="0" xfId="0">
      <alignment vertical="center" wrapText="1"/>
    </xf>
    <xf numFmtId="165" fontId="3" fillId="0" borderId="0" pivotButton="0" quotePrefix="0" xfId="0"/>
    <xf numFmtId="166" fontId="0" fillId="0" borderId="0" pivotButton="0" quotePrefix="0" xfId="0"/>
    <xf numFmtId="168" fontId="3" fillId="0" borderId="0" pivotButton="0" quotePrefix="0" xfId="0"/>
    <xf numFmtId="1" fontId="3" fillId="0" borderId="0" pivotButton="0" quotePrefix="0" xfId="0"/>
    <xf numFmtId="169" fontId="3" fillId="0" borderId="0" pivotButton="0" quotePrefix="0" xfId="0"/>
    <xf numFmtId="2" fontId="0" fillId="0" borderId="0" pivotButton="0" quotePrefix="0" xfId="0"/>
    <xf numFmtId="9" fontId="3" fillId="0" borderId="0" pivotButton="0" quotePrefix="0" xfId="0"/>
    <xf numFmtId="170" fontId="3" fillId="0" borderId="0" pivotButton="0" quotePrefix="0" xfId="0"/>
    <xf numFmtId="4" fontId="6" fillId="0" borderId="0" pivotButton="0" quotePrefix="0" xfId="0"/>
    <xf numFmtId="165" fontId="0" fillId="0" borderId="0" pivotButton="0" quotePrefix="0" xfId="0"/>
    <xf numFmtId="4" fontId="0" fillId="0" borderId="0" pivotButton="0" quotePrefix="0" xfId="0"/>
    <xf numFmtId="0" fontId="3" fillId="0" borderId="0" pivotButton="0" quotePrefix="0" xfId="0"/>
    <xf numFmtId="0" fontId="4" fillId="0" borderId="1" pivotButton="0" quotePrefix="0" xfId="0"/>
    <xf numFmtId="165" fontId="4" fillId="0" borderId="1" pivotButton="0" quotePrefix="0" xfId="0"/>
    <xf numFmtId="4" fontId="4" fillId="0" borderId="1" pivotButton="0" quotePrefix="0" xfId="0"/>
    <xf numFmtId="166" fontId="3" fillId="0" borderId="0" pivotButton="0" quotePrefix="0" xfId="0"/>
    <xf numFmtId="0" fontId="7" fillId="0" borderId="1" pivotButton="0" quotePrefix="0" xfId="0"/>
    <xf numFmtId="4" fontId="7" fillId="0" borderId="1" pivotButton="0" quotePrefix="0" xfId="0"/>
    <xf numFmtId="0" fontId="6" fillId="0" borderId="0" pivotButton="0" quotePrefix="0" xfId="0"/>
    <xf numFmtId="0" fontId="4" fillId="0" borderId="0" pivotButton="0" quotePrefix="0" xfId="0"/>
    <xf numFmtId="169" fontId="0" fillId="0" borderId="0" pivotButton="0" quotePrefix="0" xfId="0"/>
    <xf numFmtId="0" fontId="0" fillId="0" borderId="0" applyAlignment="1" pivotButton="0" quotePrefix="0" xfId="0">
      <alignment vertical="top" wrapText="1"/>
    </xf>
    <xf numFmtId="168" fontId="0" fillId="0" borderId="0" pivotButton="0" quotePrefix="0" xfId="0"/>
    <xf numFmtId="4" fontId="3" fillId="0" borderId="0" pivotButton="0" quotePrefix="0" xfId="0"/>
    <xf numFmtId="171" fontId="0" fillId="0" borderId="0" pivotButton="0" quotePrefix="0" xfId="0"/>
    <xf numFmtId="172" fontId="0" fillId="0" borderId="0" pivotButton="0" quotePrefix="0" xfId="0"/>
    <xf numFmtId="173" fontId="0" fillId="0" borderId="0" pivotButton="0" quotePrefix="0" xfId="0"/>
    <xf numFmtId="172" fontId="4" fillId="0" borderId="1" pivotButton="0" quotePrefix="0" xfId="0"/>
    <xf numFmtId="1" fontId="0" fillId="0" borderId="0" pivotButton="0" quotePrefix="0" xfId="0"/>
    <xf numFmtId="0" fontId="3" fillId="0" borderId="0" applyAlignment="1" pivotButton="0" quotePrefix="0" xfId="0">
      <alignment vertical="top" wrapText="1"/>
    </xf>
    <xf numFmtId="1" fontId="4" fillId="0" borderId="1" pivotButton="0" quotePrefix="0" xfId="0"/>
    <xf numFmtId="164" fontId="3" fillId="0" borderId="0" pivotButton="0" quotePrefix="0" xfId="0"/>
    <xf numFmtId="3" fontId="0" fillId="0" borderId="0" pivotButton="0" quotePrefix="0" xfId="0"/>
    <xf numFmtId="3" fontId="4" fillId="0" borderId="1" pivotButton="0" quotePrefix="0" xfId="0"/>
    <xf numFmtId="174"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ables/table1.xml><?xml version="1.0" encoding="utf-8"?>
<table xmlns="http://schemas.openxmlformats.org/spreadsheetml/2006/main" id="1" name="tblInputs" displayName="tblInputs" ref="A4:B16" headerRowCount="1">
  <autoFilter ref="A4:B16"/>
  <tableColumns count="2">
    <tableColumn id="1" name="Input"/>
    <tableColumn id="2" name="Value"/>
  </tableColumns>
  <tableStyleInfo name="TableStyleLight9" showRowStripes="1"/>
</table>
</file>

<file path=xl/tables/table2.xml><?xml version="1.0" encoding="utf-8"?>
<table xmlns="http://schemas.openxmlformats.org/spreadsheetml/2006/main" id="2" name="tblTeam" displayName="tblTeam" ref="A19:H28" headerRowCount="1">
  <autoFilter ref="A19:H28"/>
  <tableColumns count="8">
    <tableColumn id="1" name="Role"/>
    <tableColumn id="2" name="Day rate (USD)"/>
    <tableColumn id="3" name="Employees"/>
    <tableColumn id="4" name="Days on delivery"/>
    <tableColumn id="5" name="Allocation"/>
    <tableColumn id="6" name="Mandays"/>
    <tableColumn id="7" name="Cost (USD)"/>
    <tableColumn id="8" name="Cited from"/>
  </tableColumns>
  <tableStyleInfo name="TableStyleLight9" showRowStripes="1"/>
</table>
</file>

<file path=xl/tables/table3.xml><?xml version="1.0" encoding="utf-8"?>
<table xmlns="http://schemas.openxmlformats.org/spreadsheetml/2006/main" id="3" name="tblSupport" displayName="tblSupport" ref="A32:E38" headerRowCount="1">
  <autoFilter ref="A32:E38"/>
  <tableColumns count="5">
    <tableColumn id="1" name="Role"/>
    <tableColumn id="2" name="Day rate (USD)"/>
    <tableColumn id="3" name="Mandays per year"/>
    <tableColumn id="4" name="Cost per year (USD)"/>
    <tableColumn id="5" name="Cited from"/>
  </tableColumns>
  <tableStyleInfo name="TableStyleLight9" showRowStripes="1"/>
</table>
</file>

<file path=xl/tables/table4.xml><?xml version="1.0" encoding="utf-8"?>
<table xmlns="http://schemas.openxmlformats.org/spreadsheetml/2006/main" id="4" name="tblCostSummary" displayName="tblCostSummary" ref="A42:I49" headerRowCount="1">
  <autoFilter ref="A42:I49"/>
  <tableColumns count="9">
    <tableColumn id="1" name="Item"/>
    <tableColumn id="2" name="Monthly (USD)"/>
    <tableColumn id="3" name="Months in delivery"/>
    <tableColumn id="4" name="Delivery cost (USD)"/>
    <tableColumn id="5" name="Run months per year"/>
    <tableColumn id="6" name="Run cost per year (USD)"/>
    <tableColumn id="7" name="Run cost over the horizon (USD)"/>
    <tableColumn id="8" name="Total (USD)"/>
    <tableColumn id="9" name="From"/>
  </tableColumns>
  <tableStyleInfo name="TableStyleLight9" showRowStripes="1"/>
</table>
</file>

<file path=xl/tables/table5.xml><?xml version="1.0" encoding="utf-8"?>
<table xmlns="http://schemas.openxmlformats.org/spreadsheetml/2006/main" id="5" name="tblMultiYear" displayName="tblMultiYear" ref="A4:I15" headerRowCount="1">
  <autoFilter ref="A4:I15"/>
  <tableColumns count="9">
    <tableColumn id="1" name="Category"/>
    <tableColumn id="2" name="Item"/>
    <tableColumn id="3" name="Build"/>
    <tableColumn id="4" name="Year 1"/>
    <tableColumn id="5" name="Year 2"/>
    <tableColumn id="6" name="Year 3"/>
    <tableColumn id="7" name="Year 4"/>
    <tableColumn id="8" name="Year 5"/>
    <tableColumn id="9" name="Total"/>
  </tableColumns>
  <tableStyleInfo name="TableStyleLight9" showRowStripes="1"/>
</table>
</file>

<file path=xl/tables/table6.xml><?xml version="1.0" encoding="utf-8"?>
<table xmlns="http://schemas.openxmlformats.org/spreadsheetml/2006/main" id="6" name="tblEpics" displayName="tblEpics" ref="A4:X9" headerRowCount="1">
  <autoFilter ref="A4:X9"/>
  <tableColumns count="24">
    <tableColumn id="1" name="Epic"/>
    <tableColumn id="2" name="Name"/>
    <tableColumn id="3" name="Deliverables"/>
    <tableColumn id="4" name="Planned days"/>
    <tableColumn id="5" name="Planned weeks"/>
    <tableColumn id="6" name="Planned start"/>
    <tableColumn id="7" name="Planned end"/>
    <tableColumn id="8" name="Share of build"/>
    <tableColumn id="9" name="Team mandays"/>
    <tableColumn id="10" name="Team cost (USD)"/>
    <tableColumn id="11" name="Infra cost (USD)"/>
    <tableColumn id="12" name="Other costs (USD)"/>
    <tableColumn id="13" name="Claude API budget (USD)"/>
    <tableColumn id="14" name="Forecast total (USD)"/>
    <tableColumn id="15" name="Actual start"/>
    <tableColumn id="16" name="Actual end"/>
    <tableColumn id="17" name="Actual days"/>
    <tableColumn id="18" name="Days variance"/>
    <tableColumn id="19" name="Days variance %"/>
    <tableColumn id="20" name="Claude API actual (USD)"/>
    <tableColumn id="21" name="Actual team cost, timesheets (USD)"/>
    <tableColumn id="22" name="Actual total (USD)"/>
    <tableColumn id="23" name="Cost variance (USD)"/>
    <tableColumn id="24" name="Cited from"/>
  </tableColumns>
  <tableStyleInfo name="TableStyleLight9" showRowStripes="1"/>
</table>
</file>

<file path=xl/tables/table7.xml><?xml version="1.0" encoding="utf-8"?>
<table xmlns="http://schemas.openxmlformats.org/spreadsheetml/2006/main" id="7" name="tblSprints" displayName="tblSprints" ref="A4:P16" headerRowCount="1">
  <autoFilter ref="A4:P16"/>
  <tableColumns count="16">
    <tableColumn id="1" name="Sprint"/>
    <tableColumn id="2" name="Start"/>
    <tableColumn id="3" name="End"/>
    <tableColumn id="4" name="Planned days"/>
    <tableColumn id="5" name="Planned stories"/>
    <tableColumn id="6" name="Team cost (USD)"/>
    <tableColumn id="7" name="Infra cost (USD)"/>
    <tableColumn id="8" name="Claude API budget (USD)"/>
    <tableColumn id="9" name="Forecast total (USD)"/>
    <tableColumn id="10" name="Days worked"/>
    <tableColumn id="11" name="Stories done"/>
    <tableColumn id="12" name="Stories done (list)"/>
    <tableColumn id="13" name="Claude API actual (USD)"/>
    <tableColumn id="14" name="Actual team cost, timesheets (USD)"/>
    <tableColumn id="15" name="Actual total (USD)"/>
    <tableColumn id="16" name="Cost variance (USD)"/>
  </tableColumns>
  <tableStyleInfo name="TableStyleLight9" showRowStripes="1"/>
</table>
</file>

<file path=xl/tables/table8.xml><?xml version="1.0" encoding="utf-8"?>
<table xmlns="http://schemas.openxmlformats.org/spreadsheetml/2006/main" id="8" name="tblPhaseBudgets" displayName="tblPhaseBudgets" ref="A4:F10" headerRowCount="1">
  <autoFilter ref="A4:F10"/>
  <tableColumns count="6">
    <tableColumn id="1" name="Phase"/>
    <tableColumn id="2" name="Claude API budget (USD)"/>
    <tableColumn id="3" name="Claude API actual (USD)"/>
    <tableColumn id="4" name="Variance (USD)"/>
    <tableColumn id="5" name="Variance %"/>
    <tableColumn id="6" name="Cited from"/>
  </tableColumns>
  <tableStyleInfo name="TableStyleLight9" showRowStripes="1"/>
</table>
</file>

<file path=xl/tables/table9.xml><?xml version="1.0" encoding="utf-8"?>
<table xmlns="http://schemas.openxmlformats.org/spreadsheetml/2006/main" id="9" name="tblRevenue" displayName="tblRevenue" ref="A4:J8" headerRowCount="1">
  <autoFilter ref="A4:J8"/>
  <tableColumns count="10">
    <tableColumn id="1" name="#"/>
    <tableColumn id="2" name="Stream"/>
    <tableColumn id="3" name="Basis"/>
    <tableColumn id="4" name="Year 1"/>
    <tableColumn id="5" name="Year 2"/>
    <tableColumn id="6" name="Year 3"/>
    <tableColumn id="7" name="Year 4"/>
    <tableColumn id="8" name="Year 5"/>
    <tableColumn id="9" name="Cited from"/>
    <tableColumn id="10" name="Note"/>
  </tableColumns>
  <tableStyleInfo name="TableStyleLight9" showRowStripes="1"/>
</table>
</file>

<file path=xl/tables/table10.xml><?xml version="1.0" encoding="utf-8"?>
<table xmlns="http://schemas.openxmlformats.org/spreadsheetml/2006/main" id="10" name="tblRateCard" displayName="tblRateCard" ref="A4:C10" headerRowCount="1">
  <autoFilter ref="A4:C10"/>
  <tableColumns count="3">
    <tableColumn id="1" name="Role"/>
    <tableColumn id="2" name="Day rate (USD)"/>
    <tableColumn id="3" name="Note"/>
  </tableColumns>
  <tableStyleInfo name="TableStyleLight9" showRowStripes="1"/>
</table>
</file>

<file path=xl/tables/table11.xml><?xml version="1.0" encoding="utf-8"?>
<table xmlns="http://schemas.openxmlformats.org/spreadsheetml/2006/main" id="11" name="tblOtherCosts" displayName="tblOtherCosts" ref="A4:F9" headerRowCount="1">
  <autoFilter ref="A4:F9"/>
  <tableColumns count="6">
    <tableColumn id="1" name="#"/>
    <tableColumn id="2" name="Item"/>
    <tableColumn id="3" name="Amount (USD)"/>
    <tableColumn id="4" name="Cited from"/>
    <tableColumn id="5" name="Note"/>
    <tableColumn id="6" name="Epic"/>
  </tableColumns>
  <tableStyleInfo name="TableStyleLight9" showRowStripes="1"/>
</table>
</file>

<file path=xl/tables/table12.xml><?xml version="1.0" encoding="utf-8"?>
<table xmlns="http://schemas.openxmlformats.org/spreadsheetml/2006/main" id="12" name="tblRunCosts" displayName="tblRunCosts" ref="A4:E9" headerRowCount="1">
  <autoFilter ref="A4:E9"/>
  <tableColumns count="5">
    <tableColumn id="1" name="#"/>
    <tableColumn id="2" name="Item"/>
    <tableColumn id="3" name="Annual cost (USD)"/>
    <tableColumn id="4" name="Cited from"/>
    <tableColumn id="5" name="Note"/>
  </tableColumns>
  <tableStyleInfo name="TableStyleLight9" showRowStripes="1"/>
</table>
</file>

<file path=xl/tables/table13.xml><?xml version="1.0" encoding="utf-8"?>
<table xmlns="http://schemas.openxmlformats.org/spreadsheetml/2006/main" id="13" name="tblEnvDev" displayName="tblEnvDev" ref="A4:O12" headerRowCount="1">
  <autoFilter ref="A4:O12"/>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ables/table14.xml><?xml version="1.0" encoding="utf-8"?>
<table xmlns="http://schemas.openxmlformats.org/spreadsheetml/2006/main" id="14" name="tblEnvTest" displayName="tblEnvTest" ref="A4:O13" headerRowCount="1">
  <autoFilter ref="A4:O13"/>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ables/table15.xml><?xml version="1.0" encoding="utf-8"?>
<table xmlns="http://schemas.openxmlformats.org/spreadsheetml/2006/main" id="15" name="tblEnvProd" displayName="tblEnvProd" ref="A4:O13" headerRowCount="1">
  <autoFilter ref="A4:O13"/>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ables/table16.xml><?xml version="1.0" encoding="utf-8"?>
<table xmlns="http://schemas.openxmlformats.org/spreadsheetml/2006/main" id="16" name="tblClaudePrices" displayName="tblClaudePrices" ref="A4:G22" headerRowCount="1">
  <autoFilter ref="A4:G22"/>
  <tableColumns count="7">
    <tableColumn id="1" name="Pricing model"/>
    <tableColumn id="2" name="Name"/>
    <tableColumn id="3" name="Input"/>
    <tableColumn id="4" name="Cache write 5m"/>
    <tableColumn id="5" name="Cache write 1h"/>
    <tableColumn id="6" name="Cache read"/>
    <tableColumn id="7" name="Output"/>
  </tableColumns>
  <tableStyleInfo name="TableStyleLight9" showRowStripes="1"/>
</table>
</file>

<file path=xl/tables/table17.xml><?xml version="1.0" encoding="utf-8"?>
<table xmlns="http://schemas.openxmlformats.org/spreadsheetml/2006/main" id="17" name="tblClaudeUsage" displayName="tblClaudeUsage" ref="A4:I7" headerRowCount="1">
  <autoFilter ref="A4:I7"/>
  <tableColumns count="9">
    <tableColumn id="1" name="Model"/>
    <tableColumn id="2" name="Calls"/>
    <tableColumn id="3" name="Input tokens"/>
    <tableColumn id="4" name="Cache write 5m tokens"/>
    <tableColumn id="5" name="Cache write 1h tokens"/>
    <tableColumn id="6" name="Cache read tokens"/>
    <tableColumn id="7" name="Output tokens"/>
    <tableColumn id="8" name="Cost (USD)"/>
    <tableColumn id="9" name="Cost (USD)"/>
  </tableColumns>
  <tableStyleInfo name="TableStyleLight9" showRowStripes="1"/>
</table>
</file>

<file path=xl/tables/table18.xml><?xml version="1.0" encoding="utf-8"?>
<table xmlns="http://schemas.openxmlformats.org/spreadsheetml/2006/main" id="18" name="tblClaudeUsageDetail" displayName="tblClaudeUsageDetail" ref="A4:P19" headerRowCount="1">
  <autoFilter ref="A4:P19"/>
  <tableColumns count="16">
    <tableColumn id="1" name="Kind"/>
    <tableColumn id="2" name="Work item"/>
    <tableColumn id="3" name="Story no"/>
    <tableColumn id="4" name="Title"/>
    <tableColumn id="5" name="Model"/>
    <tableColumn id="6" name="Pricing model"/>
    <tableColumn id="7" name="First call"/>
    <tableColumn id="8" name="Last call"/>
    <tableColumn id="9" name="Calls"/>
    <tableColumn id="10" name="Input tokens"/>
    <tableColumn id="11" name="Cache write 5m tokens"/>
    <tableColumn id="12" name="Cache write 1h tokens"/>
    <tableColumn id="13" name="Cache read tokens"/>
    <tableColumn id="14" name="Output tokens"/>
    <tableColumn id="15" name="Cost (USD)"/>
    <tableColumn id="16" name="Cost (USD)"/>
  </tableColumns>
  <tableStyleInfo name="TableStyleLight9" showRowStripes="1"/>
</table>
</file>

<file path=xl/tables/table19.xml><?xml version="1.0" encoding="utf-8"?>
<table xmlns="http://schemas.openxmlformats.org/spreadsheetml/2006/main" id="19" name="tblClaudeUsageDaily" displayName="tblClaudeUsageDaily" ref="A4:O233" headerRowCount="1">
  <autoFilter ref="A4:O233"/>
  <tableColumns count="15">
    <tableColumn id="1" name="Day"/>
    <tableColumn id="2" name="Kind"/>
    <tableColumn id="3" name="Work item"/>
    <tableColumn id="4" name="Story no"/>
    <tableColumn id="5" name="Title"/>
    <tableColumn id="6" name="Model"/>
    <tableColumn id="7" name="Pricing model"/>
    <tableColumn id="8" name="Calls"/>
    <tableColumn id="9" name="Input tokens"/>
    <tableColumn id="10" name="Cache write 5m tokens"/>
    <tableColumn id="11" name="Cache write 1h tokens"/>
    <tableColumn id="12" name="Cache read tokens"/>
    <tableColumn id="13" name="Output tokens"/>
    <tableColumn id="14" name="Cost (USD)"/>
    <tableColumn id="15" name="Cost (USD)"/>
  </tableColumns>
  <tableStyleInfo name="TableStyleLight9" showRowStripes="1"/>
</table>
</file>

<file path=xl/tables/table20.xml><?xml version="1.0" encoding="utf-8"?>
<table xmlns="http://schemas.openxmlformats.org/spreadsheetml/2006/main" id="20" name="tblTimeline" displayName="tblTimeline" ref="A4:H20" headerRowCount="1">
  <autoFilter ref="A4:H20"/>
  <tableColumns count="8">
    <tableColumn id="1" name="Category"/>
    <tableColumn id="2" name="Name"/>
    <tableColumn id="3" name="Detail"/>
    <tableColumn id="4" name="Status"/>
    <tableColumn id="5" name="Started"/>
    <tableColumn id="6" name="Completed"/>
    <tableColumn id="7" name="Days"/>
    <tableColumn id="8" name="Sour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s>
</file>

<file path=xl/worksheets/_rels/sheet2.xml.rels><Relationships xmlns="http://schemas.openxmlformats.org/package/2006/relationships"><Relationship Type="http://schemas.openxmlformats.org/officeDocument/2006/relationships/table" Target="/xl/tables/table5.xml" Id="rId1" /></Relationships>
</file>

<file path=xl/worksheets/_rels/sheet3.xml.rels><Relationships xmlns="http://schemas.openxmlformats.org/package/2006/relationships"><Relationship Type="http://schemas.openxmlformats.org/officeDocument/2006/relationships/table" Target="/xl/tables/table6.xml" Id="rId1" /></Relationships>
</file>

<file path=xl/worksheets/_rels/sheet4.xml.rels><Relationships xmlns="http://schemas.openxmlformats.org/package/2006/relationships"><Relationship Type="http://schemas.openxmlformats.org/officeDocument/2006/relationships/table" Target="/xl/tables/table7.xml" Id="rId1" /></Relationships>
</file>

<file path=xl/worksheets/_rels/sheet5.xml.rels><Relationships xmlns="http://schemas.openxmlformats.org/package/2006/relationships"><Relationship Type="http://schemas.openxmlformats.org/officeDocument/2006/relationships/table" Target="/xl/tables/table8.xml" Id="rId1" /></Relationships>
</file>

<file path=xl/worksheets/_rels/sheet6.xml.rels><Relationships xmlns="http://schemas.openxmlformats.org/package/2006/relationships"><Relationship Type="http://schemas.openxmlformats.org/officeDocument/2006/relationships/table" Target="/xl/tables/table9.xml" Id="rId1" /></Relationships>
</file>

<file path=xl/worksheets/_rels/sheet7.xml.rels><Relationships xmlns="http://schemas.openxmlformats.org/package/2006/relationships"><Relationship Type="http://schemas.openxmlformats.org/officeDocument/2006/relationships/table" Target="/xl/tables/table10.xml" Id="rId1" /></Relationships>
</file>

<file path=xl/worksheets/_rels/sheet8.xml.rels><Relationships xmlns="http://schemas.openxmlformats.org/package/2006/relationships"><Relationship Type="http://schemas.openxmlformats.org/officeDocument/2006/relationships/table" Target="/xl/tables/table11.xml" Id="rId1" /></Relationships>
</file>

<file path=xl/worksheets/_rels/sheet9.xml.rels><Relationships xmlns="http://schemas.openxmlformats.org/package/2006/relationships"><Relationship Type="http://schemas.openxmlformats.org/officeDocument/2006/relationships/table" Target="/xl/tables/table12.xml" Id="rId1" /></Relationships>
</file>

<file path=xl/worksheets/_rels/sheet10.xml.rels><Relationships xmlns="http://schemas.openxmlformats.org/package/2006/relationships"><Relationship Type="http://schemas.openxmlformats.org/officeDocument/2006/relationships/table" Target="/xl/tables/table13.xml" Id="rId1" /></Relationships>
</file>

<file path=xl/worksheets/_rels/sheet11.xml.rels><Relationships xmlns="http://schemas.openxmlformats.org/package/2006/relationships"><Relationship Type="http://schemas.openxmlformats.org/officeDocument/2006/relationships/table" Target="/xl/tables/table14.xml" Id="rId1" /></Relationships>
</file>

<file path=xl/worksheets/_rels/sheet12.xml.rels><Relationships xmlns="http://schemas.openxmlformats.org/package/2006/relationships"><Relationship Type="http://schemas.openxmlformats.org/officeDocument/2006/relationships/table" Target="/xl/tables/table15.xml" Id="rId1" /></Relationships>
</file>

<file path=xl/worksheets/_rels/sheet13.xml.rels><Relationships xmlns="http://schemas.openxmlformats.org/package/2006/relationships"><Relationship Type="http://schemas.openxmlformats.org/officeDocument/2006/relationships/table" Target="/xl/tables/table16.xml" Id="rId1" /></Relationships>
</file>

<file path=xl/worksheets/_rels/sheet14.xml.rels><Relationships xmlns="http://schemas.openxmlformats.org/package/2006/relationships"><Relationship Type="http://schemas.openxmlformats.org/officeDocument/2006/relationships/table" Target="/xl/tables/table17.xml" Id="rId1" /></Relationships>
</file>

<file path=xl/worksheets/_rels/sheet15.xml.rels><Relationships xmlns="http://schemas.openxmlformats.org/package/2006/relationships"><Relationship Type="http://schemas.openxmlformats.org/officeDocument/2006/relationships/table" Target="/xl/tables/table18.xml" Id="rId1" /></Relationships>
</file>

<file path=xl/worksheets/_rels/sheet16.xml.rels><Relationships xmlns="http://schemas.openxmlformats.org/package/2006/relationships"><Relationship Type="http://schemas.openxmlformats.org/officeDocument/2006/relationships/table" Target="/xl/tables/table19.xml" Id="rId1" /></Relationships>
</file>

<file path=xl/worksheets/_rels/sheet17.xml.rels><Relationships xmlns="http://schemas.openxmlformats.org/package/2006/relationships"><Relationship Type="http://schemas.openxmlformats.org/officeDocument/2006/relationships/table" Target="/xl/tables/table20.xml" Id="rId1" /></Relationships>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40" customWidth="1" min="1" max="1"/>
    <col width="16" customWidth="1" min="2" max="2"/>
    <col width="14" customWidth="1" min="3" max="3"/>
    <col width="18" customWidth="1" min="4" max="4"/>
    <col width="14" customWidth="1" min="5" max="5"/>
    <col width="18" customWidth="1" min="6" max="6"/>
    <col width="20" customWidth="1" min="7" max="7"/>
    <col width="18" customWidth="1" min="8" max="8"/>
    <col width="30" customWidth="1" min="9" max="9"/>
  </cols>
  <sheetData>
    <row r="1">
      <c r="A1" s="1" t="inlineStr">
        <is>
          <t>Falcon Portal cost estimate (synthetic sample)</t>
        </is>
      </c>
    </row>
    <row r="2">
      <c r="A2" t="inlineStr">
        <is>
          <t>All costs in USD. Cloud: Azure retail list prices in uaenorth fetched 2026-09-28, no discounts or reservations. Blue cells are inputs; black cells are formulas; green cells link to other sheets.</t>
        </is>
      </c>
    </row>
    <row r="3">
      <c r="A3" s="2" t="inlineStr">
        <is>
          <t>Inputs</t>
        </is>
      </c>
    </row>
    <row r="4">
      <c r="A4" s="3" t="inlineStr">
        <is>
          <t>Input</t>
        </is>
      </c>
      <c r="B4" s="3" t="inlineStr">
        <is>
          <t>Value</t>
        </is>
      </c>
    </row>
    <row r="5">
      <c r="A5" t="inlineStr">
        <is>
          <t>Days of delivery (working days)</t>
        </is>
      </c>
      <c r="B5" s="4" t="n">
        <v>84</v>
      </c>
    </row>
    <row r="6">
      <c r="A6" t="inlineStr">
        <is>
          <t>Working days per month</t>
        </is>
      </c>
      <c r="B6" s="4" t="n">
        <v>21</v>
      </c>
    </row>
    <row r="7">
      <c r="A7" t="inlineStr">
        <is>
          <t>Months of delivery</t>
        </is>
      </c>
      <c r="B7" s="5">
        <f>DeliveryDays/WorkingDaysPerMonth</f>
        <v/>
      </c>
    </row>
    <row r="8">
      <c r="A8" t="inlineStr">
        <is>
          <t>Hours per month (always-on services)</t>
        </is>
      </c>
      <c r="B8" s="4" t="n">
        <v>730</v>
      </c>
    </row>
    <row r="9">
      <c r="A9" t="inlineStr">
        <is>
          <t>Delivery start date (optional; dates the epics and sprints)</t>
        </is>
      </c>
      <c r="B9" s="6" t="n">
        <v>46083</v>
      </c>
    </row>
    <row r="10">
      <c r="A10" t="inlineStr">
        <is>
          <t>Working days per sprint</t>
        </is>
      </c>
      <c r="B10" s="7" t="n">
        <v>10</v>
      </c>
    </row>
    <row r="11">
      <c r="A11" t="inlineStr">
        <is>
          <t>Years of run after go-live (3 to 5)</t>
        </is>
      </c>
      <c r="B11" s="7" t="n">
        <v>5</v>
      </c>
    </row>
    <row r="12">
      <c r="A12" t="inlineStr">
        <is>
          <t>Yearly increase in run costs</t>
        </is>
      </c>
      <c r="B12" s="8" t="n">
        <v>0.03</v>
      </c>
    </row>
    <row r="13">
      <c r="A13" t="inlineStr">
        <is>
          <t>Run years, with the yearly increase</t>
        </is>
      </c>
      <c r="B13" s="9">
        <f>IF(CostEscalation=0,HorizonYears,((1+CostEscalation)^HorizonYears-1)/CostEscalation)</f>
        <v/>
      </c>
    </row>
    <row r="14">
      <c r="A14" t="inlineStr">
        <is>
          <t>Contingency</t>
        </is>
      </c>
      <c r="B14" s="10" t="n">
        <v>0.1</v>
      </c>
    </row>
    <row r="15">
      <c r="A15" t="inlineStr">
        <is>
          <t>Exchange rate (1 USD = x USD)</t>
        </is>
      </c>
      <c r="B15" s="11" t="n">
        <v>1</v>
      </c>
    </row>
    <row r="16">
      <c r="A16" t="inlineStr">
        <is>
          <t>Exchange rate for Claude prices (1 USD = x USD)</t>
        </is>
      </c>
      <c r="B16" s="11" t="n">
        <v>1</v>
      </c>
    </row>
    <row r="18">
      <c r="A18" s="2" t="inlineStr">
        <is>
          <t>Delivery team (build)</t>
        </is>
      </c>
    </row>
    <row r="19">
      <c r="A19" s="3" t="inlineStr">
        <is>
          <t>Role</t>
        </is>
      </c>
      <c r="B19" s="3" t="inlineStr">
        <is>
          <t>Day rate (USD)</t>
        </is>
      </c>
      <c r="C19" s="3" t="inlineStr">
        <is>
          <t>Employees</t>
        </is>
      </c>
      <c r="D19" s="3" t="inlineStr">
        <is>
          <t>Days on delivery</t>
        </is>
      </c>
      <c r="E19" s="3" t="inlineStr">
        <is>
          <t>Allocation</t>
        </is>
      </c>
      <c r="F19" s="3" t="inlineStr">
        <is>
          <t>Mandays</t>
        </is>
      </c>
      <c r="G19" s="3" t="inlineStr">
        <is>
          <t>Cost (USD)</t>
        </is>
      </c>
      <c r="H19" s="3" t="inlineStr">
        <is>
          <t>Cited from</t>
        </is>
      </c>
    </row>
    <row r="20">
      <c r="A20" t="inlineStr">
        <is>
          <t>Project Manager</t>
        </is>
      </c>
      <c r="B20" s="12">
        <f>VLOOKUP(A20,'Rate Card'!$A$5:$B$50,2,FALSE)</f>
        <v/>
      </c>
      <c r="C20" s="4" t="n">
        <v>1</v>
      </c>
      <c r="D20" s="13">
        <f>DeliveryDays</f>
        <v/>
      </c>
      <c r="E20" s="10" t="n">
        <v>0.5</v>
      </c>
      <c r="F20" s="13">
        <f>C20*D20*E20</f>
        <v/>
      </c>
      <c r="G20" s="14">
        <f>F20*B20</f>
        <v/>
      </c>
      <c r="H20" t="inlineStr">
        <is>
          <t>owner: Delivery Manager, 2026-09-28</t>
        </is>
      </c>
    </row>
    <row r="21">
      <c r="A21" t="inlineStr">
        <is>
          <t>Solution Architect</t>
        </is>
      </c>
      <c r="B21" s="12">
        <f>VLOOKUP(A21,'Rate Card'!$A$5:$B$50,2,FALSE)</f>
        <v/>
      </c>
      <c r="C21" s="4" t="n">
        <v>1</v>
      </c>
      <c r="D21" s="4" t="n">
        <v>20</v>
      </c>
      <c r="E21" s="10" t="n">
        <v>1</v>
      </c>
      <c r="F21" s="13">
        <f>C21*D21*E21</f>
        <v/>
      </c>
      <c r="G21" s="14">
        <f>F21*B21</f>
        <v/>
      </c>
      <c r="H21" t="inlineStr">
        <is>
          <t>owner: Delivery Manager, 2026-09-28</t>
        </is>
      </c>
    </row>
    <row r="22">
      <c r="A22" t="inlineStr">
        <is>
          <t>Tech Lead</t>
        </is>
      </c>
      <c r="B22" s="12">
        <f>VLOOKUP(A22,'Rate Card'!$A$5:$B$50,2,FALSE)</f>
        <v/>
      </c>
      <c r="C22" s="4" t="n">
        <v>1</v>
      </c>
      <c r="D22" s="13">
        <f>DeliveryDays</f>
        <v/>
      </c>
      <c r="E22" s="10" t="n">
        <v>1</v>
      </c>
      <c r="F22" s="13">
        <f>C22*D22*E22</f>
        <v/>
      </c>
      <c r="G22" s="14">
        <f>F22*B22</f>
        <v/>
      </c>
      <c r="H22" t="inlineStr">
        <is>
          <t>_bmad-output/planning-artifacts/architecture/falcon/ARCHITECTURE-SPINE.md AD-1</t>
        </is>
      </c>
    </row>
    <row r="23">
      <c r="A23" t="inlineStr">
        <is>
          <t>Developer</t>
        </is>
      </c>
      <c r="B23" s="12">
        <f>VLOOKUP(A23,'Rate Card'!$A$5:$B$50,2,FALSE)</f>
        <v/>
      </c>
      <c r="C23" s="4" t="n">
        <v>3</v>
      </c>
      <c r="D23" s="13">
        <f>DeliveryDays</f>
        <v/>
      </c>
      <c r="E23" s="10" t="n">
        <v>1</v>
      </c>
      <c r="F23" s="13">
        <f>C23*D23*E23</f>
        <v/>
      </c>
      <c r="G23" s="14">
        <f>F23*B23</f>
        <v/>
      </c>
      <c r="H23" t="inlineStr">
        <is>
          <t>_bmad-output/specs/SPEC.md 3 Users</t>
        </is>
      </c>
    </row>
    <row r="24">
      <c r="A24" t="inlineStr">
        <is>
          <t>QA Engineer</t>
        </is>
      </c>
      <c r="B24" s="12">
        <f>VLOOKUP(A24,'Rate Card'!$A$5:$B$50,2,FALSE)</f>
        <v/>
      </c>
      <c r="C24" s="4" t="n">
        <v>1</v>
      </c>
      <c r="D24" s="13">
        <f>DeliveryDays</f>
        <v/>
      </c>
      <c r="E24" s="10" t="n">
        <v>1</v>
      </c>
      <c r="F24" s="13">
        <f>C24*D24*E24</f>
        <v/>
      </c>
      <c r="G24" s="14">
        <f>F24*B24</f>
        <v/>
      </c>
      <c r="H24" t="inlineStr">
        <is>
          <t>owner: Delivery Manager, 2026-09-28</t>
        </is>
      </c>
    </row>
    <row r="25">
      <c r="A25" t="inlineStr">
        <is>
          <t>DevOps Engineer</t>
        </is>
      </c>
      <c r="B25" s="12">
        <f>VLOOKUP(A25,'Rate Card'!$A$5:$B$50,2,FALSE)</f>
        <v/>
      </c>
      <c r="C25" s="4" t="n">
        <v>1</v>
      </c>
      <c r="D25" s="13">
        <f>DeliveryDays</f>
        <v/>
      </c>
      <c r="E25" s="10" t="n">
        <v>0.5</v>
      </c>
      <c r="F25" s="13">
        <f>C25*D25*E25</f>
        <v/>
      </c>
      <c r="G25" s="14">
        <f>F25*B25</f>
        <v/>
      </c>
      <c r="H25" t="inlineStr">
        <is>
          <t>_bmad-output/planning-artifacts/architecture/falcon/ARCHITECTURE-SPINE.md AD-1</t>
        </is>
      </c>
    </row>
    <row r="26">
      <c r="B26" s="12">
        <f>IF(A26="","",VLOOKUP(A26,'Rate Card'!$A$5:$B$50,2,FALSE))</f>
        <v/>
      </c>
      <c r="C26" s="15" t="n"/>
      <c r="D26" s="15" t="n"/>
      <c r="E26" s="10" t="n"/>
      <c r="F26" s="13">
        <f>IF(A26="","",C26*D26*E26)</f>
        <v/>
      </c>
      <c r="G26" s="14">
        <f>IF(A26="","",F26*B26)</f>
        <v/>
      </c>
    </row>
    <row r="27">
      <c r="B27" s="12">
        <f>IF(A27="","",VLOOKUP(A27,'Rate Card'!$A$5:$B$50,2,FALSE))</f>
        <v/>
      </c>
      <c r="C27" s="15" t="n"/>
      <c r="D27" s="15" t="n"/>
      <c r="E27" s="10" t="n"/>
      <c r="F27" s="13">
        <f>IF(A27="","",C27*D27*E27)</f>
        <v/>
      </c>
      <c r="G27" s="14">
        <f>IF(A27="","",F27*B27)</f>
        <v/>
      </c>
    </row>
    <row r="28">
      <c r="B28" s="12">
        <f>IF(A28="","",VLOOKUP(A28,'Rate Card'!$A$5:$B$50,2,FALSE))</f>
        <v/>
      </c>
      <c r="C28" s="15" t="n"/>
      <c r="D28" s="15" t="n"/>
      <c r="E28" s="10" t="n"/>
      <c r="F28" s="13">
        <f>IF(A28="","",C28*D28*E28)</f>
        <v/>
      </c>
      <c r="G28" s="14">
        <f>IF(A28="","",F28*B28)</f>
        <v/>
      </c>
    </row>
    <row r="29">
      <c r="A29" s="16" t="inlineStr">
        <is>
          <t>Total</t>
        </is>
      </c>
      <c r="B29" s="16" t="n"/>
      <c r="C29" s="17">
        <f>SUM(C20:C28)</f>
        <v/>
      </c>
      <c r="D29" s="16" t="n"/>
      <c r="E29" s="16" t="n"/>
      <c r="F29" s="17">
        <f>SUM(F20:F28)</f>
        <v/>
      </c>
      <c r="G29" s="18">
        <f>SUM(G20:G28)</f>
        <v/>
      </c>
      <c r="H29" s="16" t="n"/>
    </row>
    <row r="31">
      <c r="A31" s="2" t="inlineStr">
        <is>
          <t>Run support (OPEX): IT support and maintenance after go-live</t>
        </is>
      </c>
    </row>
    <row r="32">
      <c r="A32" s="3" t="inlineStr">
        <is>
          <t>Role</t>
        </is>
      </c>
      <c r="B32" s="3" t="inlineStr">
        <is>
          <t>Day rate (USD)</t>
        </is>
      </c>
      <c r="C32" s="3" t="inlineStr">
        <is>
          <t>Mandays per year</t>
        </is>
      </c>
      <c r="D32" s="3" t="inlineStr">
        <is>
          <t>Cost per year (USD)</t>
        </is>
      </c>
      <c r="E32" s="3" t="inlineStr">
        <is>
          <t>Cited from</t>
        </is>
      </c>
    </row>
    <row r="33">
      <c r="A33" t="inlineStr">
        <is>
          <t>Developer</t>
        </is>
      </c>
      <c r="B33" s="12">
        <f>VLOOKUP(A33,'Rate Card'!$A$5:$B$50,2,FALSE)</f>
        <v/>
      </c>
      <c r="C33" s="4" t="n">
        <v>60</v>
      </c>
      <c r="D33" s="14">
        <f>C33*B33</f>
        <v/>
      </c>
      <c r="E33" t="inlineStr">
        <is>
          <t>owner: Delivery Manager, 2026-09-28</t>
        </is>
      </c>
    </row>
    <row r="34">
      <c r="A34" t="inlineStr">
        <is>
          <t>DevOps Engineer</t>
        </is>
      </c>
      <c r="B34" s="12">
        <f>VLOOKUP(A34,'Rate Card'!$A$5:$B$50,2,FALSE)</f>
        <v/>
      </c>
      <c r="C34" s="4" t="n">
        <v>24</v>
      </c>
      <c r="D34" s="14">
        <f>C34*B34</f>
        <v/>
      </c>
      <c r="E34" t="inlineStr">
        <is>
          <t>owner: Delivery Manager, 2026-09-28</t>
        </is>
      </c>
    </row>
    <row r="35">
      <c r="A35" t="inlineStr">
        <is>
          <t>QA Engineer</t>
        </is>
      </c>
      <c r="B35" s="12">
        <f>VLOOKUP(A35,'Rate Card'!$A$5:$B$50,2,FALSE)</f>
        <v/>
      </c>
      <c r="C35" s="4" t="n">
        <v>12</v>
      </c>
      <c r="D35" s="14">
        <f>C35*B35</f>
        <v/>
      </c>
      <c r="E35" t="inlineStr">
        <is>
          <t>owner: Delivery Manager, 2026-09-28</t>
        </is>
      </c>
    </row>
    <row r="36">
      <c r="B36" s="12">
        <f>IF(A36="","",VLOOKUP(A36,'Rate Card'!$A$5:$B$50,2,FALSE))</f>
        <v/>
      </c>
      <c r="C36" s="15" t="n"/>
      <c r="D36" s="14">
        <f>IF(A36="","",C36*B36)</f>
        <v/>
      </c>
    </row>
    <row r="37">
      <c r="B37" s="12">
        <f>IF(A37="","",VLOOKUP(A37,'Rate Card'!$A$5:$B$50,2,FALSE))</f>
        <v/>
      </c>
      <c r="C37" s="15" t="n"/>
      <c r="D37" s="14">
        <f>IF(A37="","",C37*B37)</f>
        <v/>
      </c>
    </row>
    <row r="38">
      <c r="B38" s="12">
        <f>IF(A38="","",VLOOKUP(A38,'Rate Card'!$A$5:$B$50,2,FALSE))</f>
        <v/>
      </c>
      <c r="C38" s="15" t="n"/>
      <c r="D38" s="14">
        <f>IF(A38="","",C38*B38)</f>
        <v/>
      </c>
    </row>
    <row r="39">
      <c r="A39" s="16" t="inlineStr">
        <is>
          <t>Total</t>
        </is>
      </c>
      <c r="B39" s="16" t="n"/>
      <c r="C39" s="17">
        <f>SUM(C33:C38)</f>
        <v/>
      </c>
      <c r="D39" s="18">
        <f>SUM(D33:D38)</f>
        <v/>
      </c>
      <c r="E39" s="16" t="n"/>
    </row>
    <row r="41">
      <c r="A41" s="2" t="inlineStr">
        <is>
          <t>Cost summary</t>
        </is>
      </c>
    </row>
    <row r="42">
      <c r="A42" s="3" t="inlineStr">
        <is>
          <t>Item</t>
        </is>
      </c>
      <c r="B42" s="3" t="inlineStr">
        <is>
          <t>Monthly (USD)</t>
        </is>
      </c>
      <c r="C42" s="3" t="inlineStr">
        <is>
          <t>Months in delivery</t>
        </is>
      </c>
      <c r="D42" s="3" t="inlineStr">
        <is>
          <t>Delivery cost (USD)</t>
        </is>
      </c>
      <c r="E42" s="3" t="inlineStr">
        <is>
          <t>Run months per year</t>
        </is>
      </c>
      <c r="F42" s="3" t="inlineStr">
        <is>
          <t>Run cost per year (USD)</t>
        </is>
      </c>
      <c r="G42" s="3" t="inlineStr">
        <is>
          <t>Run cost over the horizon (USD)</t>
        </is>
      </c>
      <c r="H42" s="3" t="inlineStr">
        <is>
          <t>Total (USD)</t>
        </is>
      </c>
      <c r="I42" s="3" t="inlineStr">
        <is>
          <t>From</t>
        </is>
      </c>
    </row>
    <row r="43">
      <c r="A43" t="inlineStr">
        <is>
          <t>Dev environment</t>
        </is>
      </c>
      <c r="B43" s="12">
        <f>'Dev'!$I$13</f>
        <v/>
      </c>
      <c r="C43" s="5">
        <f>DeliveryMonths</f>
        <v/>
      </c>
      <c r="D43" s="14">
        <f>B43*C43</f>
        <v/>
      </c>
      <c r="E43" s="19" t="n">
        <v>12</v>
      </c>
      <c r="F43" s="14">
        <f>B43*E43</f>
        <v/>
      </c>
      <c r="G43" s="14">
        <f>F43*HorizonFactor</f>
        <v/>
      </c>
      <c r="H43" s="14">
        <f>D43+G43</f>
        <v/>
      </c>
      <c r="I43" t="inlineStr">
        <is>
          <t>Dev sheet</t>
        </is>
      </c>
    </row>
    <row r="44">
      <c r="A44" t="inlineStr">
        <is>
          <t>Test environment</t>
        </is>
      </c>
      <c r="B44" s="12">
        <f>'Test'!$I$14</f>
        <v/>
      </c>
      <c r="C44" s="19" t="n">
        <v>2</v>
      </c>
      <c r="D44" s="14">
        <f>B44*C44</f>
        <v/>
      </c>
      <c r="E44" s="19" t="n">
        <v>12</v>
      </c>
      <c r="F44" s="14">
        <f>B44*E44</f>
        <v/>
      </c>
      <c r="G44" s="14">
        <f>F44*HorizonFactor</f>
        <v/>
      </c>
      <c r="H44" s="14">
        <f>D44+G44</f>
        <v/>
      </c>
      <c r="I44" t="inlineStr">
        <is>
          <t>Test sheet</t>
        </is>
      </c>
    </row>
    <row r="45">
      <c r="A45" t="inlineStr">
        <is>
          <t>Prod environment</t>
        </is>
      </c>
      <c r="B45" s="12">
        <f>'Prod'!$I$14</f>
        <v/>
      </c>
      <c r="C45" s="19" t="n">
        <v>1</v>
      </c>
      <c r="D45" s="14">
        <f>B45*C45</f>
        <v/>
      </c>
      <c r="E45" s="19" t="n">
        <v>12</v>
      </c>
      <c r="F45" s="14">
        <f>B45*E45</f>
        <v/>
      </c>
      <c r="G45" s="14">
        <f>F45*HorizonFactor</f>
        <v/>
      </c>
      <c r="H45" s="14">
        <f>D45+G45</f>
        <v/>
      </c>
      <c r="I45" t="inlineStr">
        <is>
          <t>Prod sheet</t>
        </is>
      </c>
    </row>
    <row r="46">
      <c r="A46" t="inlineStr">
        <is>
          <t>Delivery team</t>
        </is>
      </c>
      <c r="D46" s="12">
        <f>G29</f>
        <v/>
      </c>
      <c r="H46" s="14">
        <f>D46+G46</f>
        <v/>
      </c>
      <c r="I46" t="inlineStr">
        <is>
          <t>Delivery team table above</t>
        </is>
      </c>
    </row>
    <row r="47">
      <c r="A47" t="inlineStr">
        <is>
          <t>Run support (OPEX)</t>
        </is>
      </c>
      <c r="F47" s="12">
        <f>D39</f>
        <v/>
      </c>
      <c r="G47" s="14">
        <f>F47*HorizonFactor</f>
        <v/>
      </c>
      <c r="H47" s="14">
        <f>D47+G47</f>
        <v/>
      </c>
      <c r="I47" t="inlineStr">
        <is>
          <t>Run support table above</t>
        </is>
      </c>
    </row>
    <row r="48">
      <c r="A48" t="inlineStr">
        <is>
          <t>Recurring run costs</t>
        </is>
      </c>
      <c r="F48" s="12">
        <f>'Run Costs'!$C$10</f>
        <v/>
      </c>
      <c r="G48" s="14">
        <f>F48*HorizonFactor</f>
        <v/>
      </c>
      <c r="H48" s="14">
        <f>D48+G48</f>
        <v/>
      </c>
      <c r="I48" t="inlineStr">
        <is>
          <t>Run Costs sheet</t>
        </is>
      </c>
    </row>
    <row r="49">
      <c r="A49" t="inlineStr">
        <is>
          <t>Other one-off costs</t>
        </is>
      </c>
      <c r="D49" s="12">
        <f>'Other Costs'!$C$10</f>
        <v/>
      </c>
      <c r="H49" s="14">
        <f>D49+G49</f>
        <v/>
      </c>
      <c r="I49" t="inlineStr">
        <is>
          <t>Other Costs sheet</t>
        </is>
      </c>
    </row>
    <row r="50">
      <c r="A50" s="16" t="inlineStr">
        <is>
          <t>Subtotal</t>
        </is>
      </c>
      <c r="B50" s="16" t="n"/>
      <c r="C50" s="16" t="n"/>
      <c r="D50" s="18">
        <f>SUM(D43:D49)</f>
        <v/>
      </c>
      <c r="E50" s="16" t="n"/>
      <c r="F50" s="18">
        <f>SUM(F43:F49)</f>
        <v/>
      </c>
      <c r="G50" s="18">
        <f>SUM(G43:G49)</f>
        <v/>
      </c>
      <c r="H50" s="18">
        <f>SUM(H43:H49)</f>
        <v/>
      </c>
      <c r="I50" s="16" t="n"/>
    </row>
    <row r="51">
      <c r="A51" t="inlineStr">
        <is>
          <t>Contingency</t>
        </is>
      </c>
      <c r="D51" s="14">
        <f>D50*Contingency</f>
        <v/>
      </c>
      <c r="F51" s="14">
        <f>F50*Contingency</f>
        <v/>
      </c>
      <c r="G51" s="14">
        <f>G50*Contingency</f>
        <v/>
      </c>
      <c r="H51" s="14">
        <f>D51+G51</f>
        <v/>
      </c>
    </row>
    <row r="52">
      <c r="A52" s="20" t="inlineStr">
        <is>
          <t>Grand total</t>
        </is>
      </c>
      <c r="B52" s="16" t="n"/>
      <c r="C52" s="16" t="n"/>
      <c r="D52" s="21">
        <f>D50+D51</f>
        <v/>
      </c>
      <c r="E52" s="16" t="n"/>
      <c r="F52" s="21">
        <f>F50+F51</f>
        <v/>
      </c>
      <c r="G52" s="21">
        <f>G50+G51</f>
        <v/>
      </c>
      <c r="H52" s="21">
        <f>H50+H51</f>
        <v/>
      </c>
      <c r="I52" s="16" t="n"/>
    </row>
    <row r="54">
      <c r="A54" t="inlineStr">
        <is>
          <t>Memo: Claude API usage at API list prices (not in the totals: Claude Code was on a subscription)</t>
        </is>
      </c>
      <c r="D54" s="12">
        <f>'Claude Usage'!$I$8</f>
        <v/>
      </c>
    </row>
  </sheetData>
  <dataValidations count="1">
    <dataValidation sqref="B11" showDropDown="0" showInputMessage="0" showErrorMessage="1" allowBlank="0" error="3 to 5 years" type="whole" operator="between">
      <formula1>3</formula1>
      <formula2>5</formula2>
    </dataValidation>
  </dataValidation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I2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58" customWidth="1" min="2" max="2"/>
    <col width="16" customWidth="1" min="3" max="3"/>
    <col width="16" customWidth="1" min="4" max="4"/>
    <col width="16" customWidth="1" min="5" max="5"/>
    <col width="16" customWidth="1" min="6" max="6"/>
    <col width="16" customWidth="1" min="7" max="7"/>
    <col width="16" customWidth="1" min="8" max="8"/>
    <col width="18" customWidth="1" min="9" max="9"/>
  </cols>
  <sheetData>
    <row r="1">
      <c r="A1" s="1" t="inlineStr">
        <is>
          <t>Multi-year view</t>
        </is>
      </c>
    </row>
    <row r="2">
      <c r="A2" t="inlineStr">
        <is>
          <t>In USD. Build is the delivery; each year after go-live carries the run costs, raised by the yearly increase, and the revenue given for it. Years past the horizon (Overall input) show zero. Contingency applies to every cost.</t>
        </is>
      </c>
    </row>
    <row r="4">
      <c r="A4" s="3" t="inlineStr">
        <is>
          <t>Category</t>
        </is>
      </c>
      <c r="B4" s="3" t="inlineStr">
        <is>
          <t>Item</t>
        </is>
      </c>
      <c r="C4" s="3" t="inlineStr">
        <is>
          <t>Build</t>
        </is>
      </c>
      <c r="D4" s="3" t="inlineStr">
        <is>
          <t>Year 1</t>
        </is>
      </c>
      <c r="E4" s="3" t="inlineStr">
        <is>
          <t>Year 2</t>
        </is>
      </c>
      <c r="F4" s="3" t="inlineStr">
        <is>
          <t>Year 3</t>
        </is>
      </c>
      <c r="G4" s="3" t="inlineStr">
        <is>
          <t>Year 4</t>
        </is>
      </c>
      <c r="H4" s="3" t="inlineStr">
        <is>
          <t>Year 5</t>
        </is>
      </c>
      <c r="I4" s="3" t="inlineStr">
        <is>
          <t>Total</t>
        </is>
      </c>
    </row>
    <row r="5">
      <c r="A5" t="inlineStr">
        <is>
          <t>Revenue</t>
        </is>
      </c>
      <c r="B5" s="22">
        <f>IF('Revenue'!$B$5="","(spare revenue row)",'Revenue'!$B$5)</f>
        <v/>
      </c>
      <c r="C5" s="14" t="n">
        <v>0</v>
      </c>
      <c r="D5" s="14">
        <f>IF(1&lt;=HorizonYears,'Revenue'!D$5,0)</f>
        <v/>
      </c>
      <c r="E5" s="14">
        <f>IF(2&lt;=HorizonYears,'Revenue'!E$5,0)</f>
        <v/>
      </c>
      <c r="F5" s="14">
        <f>IF(3&lt;=HorizonYears,'Revenue'!F$5,0)</f>
        <v/>
      </c>
      <c r="G5" s="14">
        <f>IF(4&lt;=HorizonYears,'Revenue'!G$5,0)</f>
        <v/>
      </c>
      <c r="H5" s="14">
        <f>IF(5&lt;=HorizonYears,'Revenue'!H$5,0)</f>
        <v/>
      </c>
      <c r="I5" s="14">
        <f>SUM(C5:H5)</f>
        <v/>
      </c>
    </row>
    <row r="6">
      <c r="A6" t="inlineStr">
        <is>
          <t>Revenue</t>
        </is>
      </c>
      <c r="B6" s="22">
        <f>IF('Revenue'!$B$6="","(spare revenue row)",'Revenue'!$B$6)</f>
        <v/>
      </c>
      <c r="C6" s="14" t="n">
        <v>0</v>
      </c>
      <c r="D6" s="14">
        <f>IF(1&lt;=HorizonYears,'Revenue'!D$6,0)</f>
        <v/>
      </c>
      <c r="E6" s="14">
        <f>IF(2&lt;=HorizonYears,'Revenue'!E$6,0)</f>
        <v/>
      </c>
      <c r="F6" s="14">
        <f>IF(3&lt;=HorizonYears,'Revenue'!F$6,0)</f>
        <v/>
      </c>
      <c r="G6" s="14">
        <f>IF(4&lt;=HorizonYears,'Revenue'!G$6,0)</f>
        <v/>
      </c>
      <c r="H6" s="14">
        <f>IF(5&lt;=HorizonYears,'Revenue'!H$6,0)</f>
        <v/>
      </c>
      <c r="I6" s="14">
        <f>SUM(C6:H6)</f>
        <v/>
      </c>
    </row>
    <row r="7">
      <c r="A7" t="inlineStr">
        <is>
          <t>Revenue</t>
        </is>
      </c>
      <c r="B7" s="22">
        <f>IF('Revenue'!$B$7="","(spare revenue row)",'Revenue'!$B$7)</f>
        <v/>
      </c>
      <c r="C7" s="14" t="n">
        <v>0</v>
      </c>
      <c r="D7" s="14">
        <f>IF(1&lt;=HorizonYears,'Revenue'!D$7,0)</f>
        <v/>
      </c>
      <c r="E7" s="14">
        <f>IF(2&lt;=HorizonYears,'Revenue'!E$7,0)</f>
        <v/>
      </c>
      <c r="F7" s="14">
        <f>IF(3&lt;=HorizonYears,'Revenue'!F$7,0)</f>
        <v/>
      </c>
      <c r="G7" s="14">
        <f>IF(4&lt;=HorizonYears,'Revenue'!G$7,0)</f>
        <v/>
      </c>
      <c r="H7" s="14">
        <f>IF(5&lt;=HorizonYears,'Revenue'!H$7,0)</f>
        <v/>
      </c>
      <c r="I7" s="14">
        <f>SUM(C7:H7)</f>
        <v/>
      </c>
    </row>
    <row r="8">
      <c r="A8" t="inlineStr">
        <is>
          <t>Revenue</t>
        </is>
      </c>
      <c r="B8" s="22">
        <f>IF('Revenue'!$B$8="","(spare revenue row)",'Revenue'!$B$8)</f>
        <v/>
      </c>
      <c r="C8" s="14" t="n">
        <v>0</v>
      </c>
      <c r="D8" s="14">
        <f>IF(1&lt;=HorizonYears,'Revenue'!D$8,0)</f>
        <v/>
      </c>
      <c r="E8" s="14">
        <f>IF(2&lt;=HorizonYears,'Revenue'!E$8,0)</f>
        <v/>
      </c>
      <c r="F8" s="14">
        <f>IF(3&lt;=HorizonYears,'Revenue'!F$8,0)</f>
        <v/>
      </c>
      <c r="G8" s="14">
        <f>IF(4&lt;=HorizonYears,'Revenue'!G$8,0)</f>
        <v/>
      </c>
      <c r="H8" s="14">
        <f>IF(5&lt;=HorizonYears,'Revenue'!H$8,0)</f>
        <v/>
      </c>
      <c r="I8" s="14">
        <f>SUM(C8:H8)</f>
        <v/>
      </c>
    </row>
    <row r="9">
      <c r="A9" t="inlineStr">
        <is>
          <t>Cost</t>
        </is>
      </c>
      <c r="B9" t="inlineStr">
        <is>
          <t>Build: delivery team, environments during delivery, one-off costs</t>
        </is>
      </c>
      <c r="C9" s="12">
        <f>'Overall'!$D$50</f>
        <v/>
      </c>
      <c r="D9" s="14" t="n">
        <v>0</v>
      </c>
      <c r="E9" s="14" t="n">
        <v>0</v>
      </c>
      <c r="F9" s="14" t="n">
        <v>0</v>
      </c>
      <c r="G9" s="14" t="n">
        <v>0</v>
      </c>
      <c r="H9" s="14" t="n">
        <v>0</v>
      </c>
      <c r="I9" s="14">
        <f>SUM(C9:H9)</f>
        <v/>
      </c>
    </row>
    <row r="10">
      <c r="A10" t="inlineStr">
        <is>
          <t>Cost</t>
        </is>
      </c>
      <c r="B10" t="inlineStr">
        <is>
          <t>Dev environment (run)</t>
        </is>
      </c>
      <c r="C10" s="14" t="n">
        <v>0</v>
      </c>
      <c r="D10" s="14">
        <f>IF(1&lt;=HorizonYears,'Overall'!$F$43*(1+CostEscalation)^0,0)</f>
        <v/>
      </c>
      <c r="E10" s="14">
        <f>IF(2&lt;=HorizonYears,'Overall'!$F$43*(1+CostEscalation)^1,0)</f>
        <v/>
      </c>
      <c r="F10" s="14">
        <f>IF(3&lt;=HorizonYears,'Overall'!$F$43*(1+CostEscalation)^2,0)</f>
        <v/>
      </c>
      <c r="G10" s="14">
        <f>IF(4&lt;=HorizonYears,'Overall'!$F$43*(1+CostEscalation)^3,0)</f>
        <v/>
      </c>
      <c r="H10" s="14">
        <f>IF(5&lt;=HorizonYears,'Overall'!$F$43*(1+CostEscalation)^4,0)</f>
        <v/>
      </c>
      <c r="I10" s="14">
        <f>SUM(C10:H10)</f>
        <v/>
      </c>
    </row>
    <row r="11">
      <c r="A11" t="inlineStr">
        <is>
          <t>Cost</t>
        </is>
      </c>
      <c r="B11" t="inlineStr">
        <is>
          <t>Test environment (run)</t>
        </is>
      </c>
      <c r="C11" s="14" t="n">
        <v>0</v>
      </c>
      <c r="D11" s="14">
        <f>IF(1&lt;=HorizonYears,'Overall'!$F$44*(1+CostEscalation)^0,0)</f>
        <v/>
      </c>
      <c r="E11" s="14">
        <f>IF(2&lt;=HorizonYears,'Overall'!$F$44*(1+CostEscalation)^1,0)</f>
        <v/>
      </c>
      <c r="F11" s="14">
        <f>IF(3&lt;=HorizonYears,'Overall'!$F$44*(1+CostEscalation)^2,0)</f>
        <v/>
      </c>
      <c r="G11" s="14">
        <f>IF(4&lt;=HorizonYears,'Overall'!$F$44*(1+CostEscalation)^3,0)</f>
        <v/>
      </c>
      <c r="H11" s="14">
        <f>IF(5&lt;=HorizonYears,'Overall'!$F$44*(1+CostEscalation)^4,0)</f>
        <v/>
      </c>
      <c r="I11" s="14">
        <f>SUM(C11:H11)</f>
        <v/>
      </c>
    </row>
    <row r="12">
      <c r="A12" t="inlineStr">
        <is>
          <t>Cost</t>
        </is>
      </c>
      <c r="B12" t="inlineStr">
        <is>
          <t>Prod environment (run)</t>
        </is>
      </c>
      <c r="C12" s="14" t="n">
        <v>0</v>
      </c>
      <c r="D12" s="14">
        <f>IF(1&lt;=HorizonYears,'Overall'!$F$45*(1+CostEscalation)^0,0)</f>
        <v/>
      </c>
      <c r="E12" s="14">
        <f>IF(2&lt;=HorizonYears,'Overall'!$F$45*(1+CostEscalation)^1,0)</f>
        <v/>
      </c>
      <c r="F12" s="14">
        <f>IF(3&lt;=HorizonYears,'Overall'!$F$45*(1+CostEscalation)^2,0)</f>
        <v/>
      </c>
      <c r="G12" s="14">
        <f>IF(4&lt;=HorizonYears,'Overall'!$F$45*(1+CostEscalation)^3,0)</f>
        <v/>
      </c>
      <c r="H12" s="14">
        <f>IF(5&lt;=HorizonYears,'Overall'!$F$45*(1+CostEscalation)^4,0)</f>
        <v/>
      </c>
      <c r="I12" s="14">
        <f>SUM(C12:H12)</f>
        <v/>
      </c>
    </row>
    <row r="13">
      <c r="A13" t="inlineStr">
        <is>
          <t>Cost</t>
        </is>
      </c>
      <c r="B13" t="inlineStr">
        <is>
          <t>Run support (OPEX)</t>
        </is>
      </c>
      <c r="C13" s="14" t="n">
        <v>0</v>
      </c>
      <c r="D13" s="14">
        <f>IF(1&lt;=HorizonYears,'Overall'!$F$47*(1+CostEscalation)^0,0)</f>
        <v/>
      </c>
      <c r="E13" s="14">
        <f>IF(2&lt;=HorizonYears,'Overall'!$F$47*(1+CostEscalation)^1,0)</f>
        <v/>
      </c>
      <c r="F13" s="14">
        <f>IF(3&lt;=HorizonYears,'Overall'!$F$47*(1+CostEscalation)^2,0)</f>
        <v/>
      </c>
      <c r="G13" s="14">
        <f>IF(4&lt;=HorizonYears,'Overall'!$F$47*(1+CostEscalation)^3,0)</f>
        <v/>
      </c>
      <c r="H13" s="14">
        <f>IF(5&lt;=HorizonYears,'Overall'!$F$47*(1+CostEscalation)^4,0)</f>
        <v/>
      </c>
      <c r="I13" s="14">
        <f>SUM(C13:H13)</f>
        <v/>
      </c>
    </row>
    <row r="14">
      <c r="A14" t="inlineStr">
        <is>
          <t>Cost</t>
        </is>
      </c>
      <c r="B14" t="inlineStr">
        <is>
          <t>Recurring run costs</t>
        </is>
      </c>
      <c r="C14" s="14" t="n">
        <v>0</v>
      </c>
      <c r="D14" s="14">
        <f>IF(1&lt;=HorizonYears,'Overall'!$F$48*(1+CostEscalation)^0,0)</f>
        <v/>
      </c>
      <c r="E14" s="14">
        <f>IF(2&lt;=HorizonYears,'Overall'!$F$48*(1+CostEscalation)^1,0)</f>
        <v/>
      </c>
      <c r="F14" s="14">
        <f>IF(3&lt;=HorizonYears,'Overall'!$F$48*(1+CostEscalation)^2,0)</f>
        <v/>
      </c>
      <c r="G14" s="14">
        <f>IF(4&lt;=HorizonYears,'Overall'!$F$48*(1+CostEscalation)^3,0)</f>
        <v/>
      </c>
      <c r="H14" s="14">
        <f>IF(5&lt;=HorizonYears,'Overall'!$F$48*(1+CostEscalation)^4,0)</f>
        <v/>
      </c>
      <c r="I14" s="14">
        <f>SUM(C14:H14)</f>
        <v/>
      </c>
    </row>
    <row r="15">
      <c r="A15" t="inlineStr">
        <is>
          <t>Contingency</t>
        </is>
      </c>
      <c r="B15" t="inlineStr">
        <is>
          <t>Contingency on every cost</t>
        </is>
      </c>
      <c r="C15" s="14">
        <f>SUMIF($A$5:$A$14,"Cost",C5:C14)*Contingency</f>
        <v/>
      </c>
      <c r="D15" s="14">
        <f>SUMIF($A$5:$A$14,"Cost",D5:D14)*Contingency</f>
        <v/>
      </c>
      <c r="E15" s="14">
        <f>SUMIF($A$5:$A$14,"Cost",E5:E14)*Contingency</f>
        <v/>
      </c>
      <c r="F15" s="14">
        <f>SUMIF($A$5:$A$14,"Cost",F5:F14)*Contingency</f>
        <v/>
      </c>
      <c r="G15" s="14">
        <f>SUMIF($A$5:$A$14,"Cost",G5:G14)*Contingency</f>
        <v/>
      </c>
      <c r="H15" s="14">
        <f>SUMIF($A$5:$A$14,"Cost",H5:H14)*Contingency</f>
        <v/>
      </c>
      <c r="I15" s="14">
        <f>SUM(C15:H15)</f>
        <v/>
      </c>
    </row>
    <row r="16">
      <c r="A16" s="16" t="inlineStr">
        <is>
          <t>Total revenue</t>
        </is>
      </c>
      <c r="B16" s="16" t="n"/>
      <c r="C16" s="18">
        <f>SUMIF($A$5:$A$15,"Revenue",C5:C15)</f>
        <v/>
      </c>
      <c r="D16" s="18">
        <f>SUMIF($A$5:$A$15,"Revenue",D5:D15)</f>
        <v/>
      </c>
      <c r="E16" s="18">
        <f>SUMIF($A$5:$A$15,"Revenue",E5:E15)</f>
        <v/>
      </c>
      <c r="F16" s="18">
        <f>SUMIF($A$5:$A$15,"Revenue",F5:F15)</f>
        <v/>
      </c>
      <c r="G16" s="18">
        <f>SUMIF($A$5:$A$15,"Revenue",G5:G15)</f>
        <v/>
      </c>
      <c r="H16" s="18">
        <f>SUMIF($A$5:$A$15,"Revenue",H5:H15)</f>
        <v/>
      </c>
      <c r="I16" s="18">
        <f>SUMIF($A$5:$A$15,"Revenue",I5:I15)</f>
        <v/>
      </c>
    </row>
    <row r="17">
      <c r="A17" s="23" t="inlineStr">
        <is>
          <t>Total costs</t>
        </is>
      </c>
      <c r="C17" s="14">
        <f>SUMIF($A$5:$A$15,"Cost",C5:C15)+SUMIF($A$5:$A$15,"Contingency",C5:C15)</f>
        <v/>
      </c>
      <c r="D17" s="14">
        <f>SUMIF($A$5:$A$15,"Cost",D5:D15)+SUMIF($A$5:$A$15,"Contingency",D5:D15)</f>
        <v/>
      </c>
      <c r="E17" s="14">
        <f>SUMIF($A$5:$A$15,"Cost",E5:E15)+SUMIF($A$5:$A$15,"Contingency",E5:E15)</f>
        <v/>
      </c>
      <c r="F17" s="14">
        <f>SUMIF($A$5:$A$15,"Cost",F5:F15)+SUMIF($A$5:$A$15,"Contingency",F5:F15)</f>
        <v/>
      </c>
      <c r="G17" s="14">
        <f>SUMIF($A$5:$A$15,"Cost",G5:G15)+SUMIF($A$5:$A$15,"Contingency",G5:G15)</f>
        <v/>
      </c>
      <c r="H17" s="14">
        <f>SUMIF($A$5:$A$15,"Cost",H5:H15)+SUMIF($A$5:$A$15,"Contingency",H5:H15)</f>
        <v/>
      </c>
      <c r="I17" s="14">
        <f>SUMIF($A$5:$A$15,"Cost",I5:I15)+SUMIF($A$5:$A$15,"Contingency",I5:I15)</f>
        <v/>
      </c>
    </row>
    <row r="18">
      <c r="A18" s="23" t="inlineStr">
        <is>
          <t>Net</t>
        </is>
      </c>
      <c r="C18" s="14">
        <f>C16-C17</f>
        <v/>
      </c>
      <c r="D18" s="14">
        <f>D16-D17</f>
        <v/>
      </c>
      <c r="E18" s="14">
        <f>E16-E17</f>
        <v/>
      </c>
      <c r="F18" s="14">
        <f>F16-F17</f>
        <v/>
      </c>
      <c r="G18" s="14">
        <f>G16-G17</f>
        <v/>
      </c>
      <c r="H18" s="14">
        <f>H16-H17</f>
        <v/>
      </c>
      <c r="I18" s="14">
        <f>I16-I17</f>
        <v/>
      </c>
    </row>
    <row r="19">
      <c r="A19" s="23" t="inlineStr">
        <is>
          <t>Cumulative net</t>
        </is>
      </c>
      <c r="C19" s="14">
        <f>C18</f>
        <v/>
      </c>
      <c r="D19" s="14">
        <f>C19+D18</f>
        <v/>
      </c>
      <c r="E19" s="14">
        <f>D19+E18</f>
        <v/>
      </c>
      <c r="F19" s="14">
        <f>E19+F18</f>
        <v/>
      </c>
      <c r="G19" s="14">
        <f>F19+G18</f>
        <v/>
      </c>
      <c r="H19" s="14">
        <f>G19+H18</f>
        <v/>
      </c>
      <c r="I19" s="14">
        <f>H19</f>
        <v/>
      </c>
    </row>
    <row r="21">
      <c r="A21" t="inlineStr">
        <is>
          <t>Payback</t>
        </is>
      </c>
      <c r="B21">
        <f>IF(C19&gt;=0,"Build",IF(D19&gt;=0,"Year 1",IF(E19&gt;=0,"Year 2",IF(F19&gt;=0,"Year 3",IF(G19&gt;=0,"Year 4",IF(H19&gt;=0,"Year 5","beyond the horizon"))))))</f>
        <v/>
      </c>
    </row>
    <row r="22">
      <c r="A22" t="inlineStr">
        <is>
          <t>Return on cost (net / costs)</t>
        </is>
      </c>
      <c r="B22" s="24">
        <f>IF(I17=0,"",I18/I17)</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X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40" customWidth="1" min="3" max="3"/>
    <col width="9" customWidth="1" min="4" max="4"/>
    <col width="9" customWidth="1" min="5" max="5"/>
    <col width="12" customWidth="1" min="6" max="6"/>
    <col width="12" customWidth="1" min="7" max="7"/>
    <col width="9" customWidth="1" min="8" max="8"/>
    <col width="11" customWidth="1" min="9" max="9"/>
    <col width="14" customWidth="1" min="10" max="10"/>
    <col width="13" customWidth="1" min="11" max="11"/>
    <col width="13" customWidth="1" min="12" max="12"/>
    <col width="13" customWidth="1" min="13" max="13"/>
    <col width="15" customWidth="1" min="14" max="14"/>
    <col width="12" customWidth="1" min="15" max="15"/>
    <col width="12" customWidth="1" min="16" max="16"/>
    <col width="9" customWidth="1" min="17" max="17"/>
    <col width="9" customWidth="1" min="18" max="18"/>
    <col width="9" customWidth="1" min="19" max="19"/>
    <col width="13" customWidth="1" min="20" max="20"/>
    <col width="15" customWidth="1" min="21" max="21"/>
    <col width="15" customWidth="1" min="22" max="22"/>
    <col width="14" customWidth="1" min="23" max="23"/>
    <col width="40" customWidth="1" min="24" max="24"/>
  </cols>
  <sheetData>
    <row r="1">
      <c r="A1" s="1" t="inlineStr">
        <is>
          <t>Epics: deliverables, forecast and actual</t>
        </is>
      </c>
    </row>
    <row r="2">
      <c r="A2" t="inlineStr">
        <is>
          <t>In USD. Forecast: each epic takes a share of the build in proportion to its planned working days (that share of the delivery team and of the environments during delivery), plus the one-off costs tagged to it and its Claude API budget; dates run the epics one after another from the delivery start date. Actual: enter or keep the actual start and end dates; actual working days, the Claude API actual from the ledger, and team and infra scaled by actual / planned days (same team and rates) unless you enter the timesheet team cost. Blue cells are inputs; add an epic in a spare row.</t>
        </is>
      </c>
    </row>
    <row r="4">
      <c r="A4" s="3" t="inlineStr">
        <is>
          <t>Epic</t>
        </is>
      </c>
      <c r="B4" s="3" t="inlineStr">
        <is>
          <t>Name</t>
        </is>
      </c>
      <c r="C4" s="3" t="inlineStr">
        <is>
          <t>Deliverables</t>
        </is>
      </c>
      <c r="D4" s="3" t="inlineStr">
        <is>
          <t>Planned days</t>
        </is>
      </c>
      <c r="E4" s="3" t="inlineStr">
        <is>
          <t>Planned weeks</t>
        </is>
      </c>
      <c r="F4" s="3" t="inlineStr">
        <is>
          <t>Planned start</t>
        </is>
      </c>
      <c r="G4" s="3" t="inlineStr">
        <is>
          <t>Planned end</t>
        </is>
      </c>
      <c r="H4" s="3" t="inlineStr">
        <is>
          <t>Share of build</t>
        </is>
      </c>
      <c r="I4" s="3" t="inlineStr">
        <is>
          <t>Team mandays</t>
        </is>
      </c>
      <c r="J4" s="3" t="inlineStr">
        <is>
          <t>Team cost (USD)</t>
        </is>
      </c>
      <c r="K4" s="3" t="inlineStr">
        <is>
          <t>Infra cost (USD)</t>
        </is>
      </c>
      <c r="L4" s="3" t="inlineStr">
        <is>
          <t>Other costs (USD)</t>
        </is>
      </c>
      <c r="M4" s="3" t="inlineStr">
        <is>
          <t>Claude API budget (USD)</t>
        </is>
      </c>
      <c r="N4" s="3" t="inlineStr">
        <is>
          <t>Forecast total (USD)</t>
        </is>
      </c>
      <c r="O4" s="3" t="inlineStr">
        <is>
          <t>Actual start</t>
        </is>
      </c>
      <c r="P4" s="3" t="inlineStr">
        <is>
          <t>Actual end</t>
        </is>
      </c>
      <c r="Q4" s="3" t="inlineStr">
        <is>
          <t>Actual days</t>
        </is>
      </c>
      <c r="R4" s="3" t="inlineStr">
        <is>
          <t>Days variance</t>
        </is>
      </c>
      <c r="S4" s="3" t="inlineStr">
        <is>
          <t>Days variance %</t>
        </is>
      </c>
      <c r="T4" s="3" t="inlineStr">
        <is>
          <t>Claude API actual (USD)</t>
        </is>
      </c>
      <c r="U4" s="3" t="inlineStr">
        <is>
          <t>Actual team cost, timesheets (USD)</t>
        </is>
      </c>
      <c r="V4" s="3" t="inlineStr">
        <is>
          <t>Actual total (USD)</t>
        </is>
      </c>
      <c r="W4" s="3" t="inlineStr">
        <is>
          <t>Cost variance (USD)</t>
        </is>
      </c>
      <c r="X4" s="3" t="inlineStr">
        <is>
          <t>Cited from</t>
        </is>
      </c>
    </row>
    <row r="5">
      <c r="A5" s="7" t="n">
        <v>1</v>
      </c>
      <c r="B5" t="inlineStr">
        <is>
          <t>Customer onboarding</t>
        </is>
      </c>
      <c r="C5" s="25" t="inlineStr">
        <is>
          <t>1.1 Sign in with Entra ID
1.2 Start an application
1.3 Upload documents</t>
        </is>
      </c>
      <c r="D5" s="4" t="n">
        <v>40</v>
      </c>
      <c r="E5" s="5">
        <f>IF(D5="","",D5/5)</f>
        <v/>
      </c>
      <c r="F5" s="26">
        <f>IF(OR(D5="",ProjectStart=""),"",ProjectStart)</f>
        <v/>
      </c>
      <c r="G5" s="26">
        <f>IF(F5="","",WORKDAY(F5,D5-1))</f>
        <v/>
      </c>
      <c r="H5" s="24">
        <f>IF(D5="","",D5/SUM($D$5:$D$9))</f>
        <v/>
      </c>
      <c r="I5" s="13">
        <f>IF(D5="","",H5*'Overall'!$F$29)</f>
        <v/>
      </c>
      <c r="J5" s="14">
        <f>IF(D5="","",H5*'Overall'!$G$29)</f>
        <v/>
      </c>
      <c r="K5" s="14">
        <f>IF(D5="","",H5*('Overall'!$D$43+'Overall'!$D$44+'Overall'!$D$45))</f>
        <v/>
      </c>
      <c r="L5" s="14">
        <f>IF(A5="","",SUMIFS('Other Costs'!$C$5:$C$9,'Other Costs'!$F$5:$F$9,A5))</f>
        <v/>
      </c>
      <c r="M5" s="27" t="n">
        <v>150</v>
      </c>
      <c r="N5" s="14">
        <f>IF(D5="","",J5+K5+L5+N(M5))</f>
        <v/>
      </c>
      <c r="O5" s="6" t="n">
        <v>46083</v>
      </c>
      <c r="P5" s="6" t="n">
        <v>46132</v>
      </c>
      <c r="Q5" s="13">
        <f>IF(OR(D5="",O5="",P5=""),"",NETWORKDAYS(O5,P5))</f>
        <v/>
      </c>
      <c r="R5" s="28">
        <f>IF(Q5="","",Q5-D5)</f>
        <v/>
      </c>
      <c r="S5" s="29">
        <f>IF(Q5="","",Q5/D5-1)</f>
        <v/>
      </c>
      <c r="T5" s="14">
        <f>IF(A5="","",SUMIFS('Claude Usage Detail'!$P$5:$P$19,'Claude Usage Detail'!$C$5:$C$19,A5&amp;".*"))</f>
        <v/>
      </c>
      <c r="U5" s="15" t="n"/>
      <c r="V5" s="14">
        <f>IF(Q5="","",IF(U5="",J5*Q5/D5,U5)+K5*Q5/D5+L5+N(T5))</f>
        <v/>
      </c>
      <c r="W5" s="30">
        <f>IF(V5="","",V5-N5)</f>
        <v/>
      </c>
      <c r="X5" s="25" t="inlineStr">
        <is>
          <t>_bmad-output/planning-artifacts/epics.md Epic 1: Customer onboarding</t>
        </is>
      </c>
    </row>
    <row r="6">
      <c r="A6" s="7" t="n">
        <v>2</v>
      </c>
      <c r="B6" t="inlineStr">
        <is>
          <t>Review and decision</t>
        </is>
      </c>
      <c r="C6" s="25" t="inlineStr">
        <is>
          <t>2.1 Review queue
2.2 Approve or reject
2.3 Notify the customer</t>
        </is>
      </c>
      <c r="D6" s="4" t="n">
        <v>44</v>
      </c>
      <c r="E6" s="5">
        <f>IF(D6="","",D6/5)</f>
        <v/>
      </c>
      <c r="F6" s="26">
        <f>IF(OR(D6="",ProjectStart=""),"",WORKDAY(G5,1))</f>
        <v/>
      </c>
      <c r="G6" s="26">
        <f>IF(F6="","",WORKDAY(F6,D6-1))</f>
        <v/>
      </c>
      <c r="H6" s="24">
        <f>IF(D6="","",D6/SUM($D$5:$D$9))</f>
        <v/>
      </c>
      <c r="I6" s="13">
        <f>IF(D6="","",H6*'Overall'!$F$29)</f>
        <v/>
      </c>
      <c r="J6" s="14">
        <f>IF(D6="","",H6*'Overall'!$G$29)</f>
        <v/>
      </c>
      <c r="K6" s="14">
        <f>IF(D6="","",H6*('Overall'!$D$43+'Overall'!$D$44+'Overall'!$D$45))</f>
        <v/>
      </c>
      <c r="L6" s="14">
        <f>IF(A6="","",SUMIFS('Other Costs'!$C$5:$C$9,'Other Costs'!$F$5:$F$9,A6))</f>
        <v/>
      </c>
      <c r="M6" s="27" t="n">
        <v>150</v>
      </c>
      <c r="N6" s="14">
        <f>IF(D6="","",J6+K6+L6+N(M6))</f>
        <v/>
      </c>
      <c r="O6" s="6" t="n">
        <v>46133</v>
      </c>
      <c r="P6" s="6" t="n">
        <v>46199</v>
      </c>
      <c r="Q6" s="13">
        <f>IF(OR(D6="",O6="",P6=""),"",NETWORKDAYS(O6,P6))</f>
        <v/>
      </c>
      <c r="R6" s="28">
        <f>IF(Q6="","",Q6-D6)</f>
        <v/>
      </c>
      <c r="S6" s="29">
        <f>IF(Q6="","",Q6/D6-1)</f>
        <v/>
      </c>
      <c r="T6" s="14">
        <f>IF(A6="","",SUMIFS('Claude Usage Detail'!$P$5:$P$19,'Claude Usage Detail'!$C$5:$C$19,A6&amp;".*"))</f>
        <v/>
      </c>
      <c r="U6" s="15" t="n"/>
      <c r="V6" s="14">
        <f>IF(Q6="","",IF(U6="",J6*Q6/D6,U6)+K6*Q6/D6+L6+N(T6))</f>
        <v/>
      </c>
      <c r="W6" s="30">
        <f>IF(V6="","",V6-N6)</f>
        <v/>
      </c>
      <c r="X6" s="25" t="inlineStr">
        <is>
          <t>_bmad-output/planning-artifacts/epics.md Epic 2: Review and decision</t>
        </is>
      </c>
    </row>
    <row r="7">
      <c r="A7" s="15" t="n"/>
      <c r="B7" s="15" t="n"/>
      <c r="C7" s="15" t="n"/>
      <c r="D7" s="15" t="n"/>
      <c r="E7" s="5">
        <f>IF(D7="","",D7/5)</f>
        <v/>
      </c>
      <c r="F7" s="26">
        <f>IF(OR(D7="",ProjectStart=""),"",WORKDAY(G6,1))</f>
        <v/>
      </c>
      <c r="G7" s="26">
        <f>IF(F7="","",WORKDAY(F7,D7-1))</f>
        <v/>
      </c>
      <c r="H7" s="24">
        <f>IF(D7="","",D7/SUM($D$5:$D$9))</f>
        <v/>
      </c>
      <c r="I7" s="13">
        <f>IF(D7="","",H7*'Overall'!$F$29)</f>
        <v/>
      </c>
      <c r="J7" s="14">
        <f>IF(D7="","",H7*'Overall'!$G$29)</f>
        <v/>
      </c>
      <c r="K7" s="14">
        <f>IF(D7="","",H7*('Overall'!$D$43+'Overall'!$D$44+'Overall'!$D$45))</f>
        <v/>
      </c>
      <c r="L7" s="14">
        <f>IF(A7="","",SUMIFS('Other Costs'!$C$5:$C$9,'Other Costs'!$F$5:$F$9,A7))</f>
        <v/>
      </c>
      <c r="M7" s="15" t="n"/>
      <c r="N7" s="14">
        <f>IF(D7="","",J7+K7+L7+N(M7))</f>
        <v/>
      </c>
      <c r="O7" s="6" t="n"/>
      <c r="P7" s="6" t="n"/>
      <c r="Q7" s="13">
        <f>IF(OR(D7="",O7="",P7=""),"",NETWORKDAYS(O7,P7))</f>
        <v/>
      </c>
      <c r="R7" s="28">
        <f>IF(Q7="","",Q7-D7)</f>
        <v/>
      </c>
      <c r="S7" s="29">
        <f>IF(Q7="","",Q7/D7-1)</f>
        <v/>
      </c>
      <c r="T7" s="14">
        <f>IF(A7="","",SUMIFS('Claude Usage Detail'!$P$5:$P$19,'Claude Usage Detail'!$C$5:$C$19,A7&amp;".*"))</f>
        <v/>
      </c>
      <c r="U7" s="15" t="n"/>
      <c r="V7" s="14">
        <f>IF(Q7="","",IF(U7="",J7*Q7/D7,U7)+K7*Q7/D7+L7+N(T7))</f>
        <v/>
      </c>
      <c r="W7" s="30">
        <f>IF(V7="","",V7-N7)</f>
        <v/>
      </c>
    </row>
    <row r="8">
      <c r="A8" s="15" t="n"/>
      <c r="B8" s="15" t="n"/>
      <c r="C8" s="15" t="n"/>
      <c r="D8" s="15" t="n"/>
      <c r="E8" s="5">
        <f>IF(D8="","",D8/5)</f>
        <v/>
      </c>
      <c r="F8" s="26">
        <f>IF(OR(D8="",ProjectStart=""),"",WORKDAY(G7,1))</f>
        <v/>
      </c>
      <c r="G8" s="26">
        <f>IF(F8="","",WORKDAY(F8,D8-1))</f>
        <v/>
      </c>
      <c r="H8" s="24">
        <f>IF(D8="","",D8/SUM($D$5:$D$9))</f>
        <v/>
      </c>
      <c r="I8" s="13">
        <f>IF(D8="","",H8*'Overall'!$F$29)</f>
        <v/>
      </c>
      <c r="J8" s="14">
        <f>IF(D8="","",H8*'Overall'!$G$29)</f>
        <v/>
      </c>
      <c r="K8" s="14">
        <f>IF(D8="","",H8*('Overall'!$D$43+'Overall'!$D$44+'Overall'!$D$45))</f>
        <v/>
      </c>
      <c r="L8" s="14">
        <f>IF(A8="","",SUMIFS('Other Costs'!$C$5:$C$9,'Other Costs'!$F$5:$F$9,A8))</f>
        <v/>
      </c>
      <c r="M8" s="15" t="n"/>
      <c r="N8" s="14">
        <f>IF(D8="","",J8+K8+L8+N(M8))</f>
        <v/>
      </c>
      <c r="O8" s="6" t="n"/>
      <c r="P8" s="6" t="n"/>
      <c r="Q8" s="13">
        <f>IF(OR(D8="",O8="",P8=""),"",NETWORKDAYS(O8,P8))</f>
        <v/>
      </c>
      <c r="R8" s="28">
        <f>IF(Q8="","",Q8-D8)</f>
        <v/>
      </c>
      <c r="S8" s="29">
        <f>IF(Q8="","",Q8/D8-1)</f>
        <v/>
      </c>
      <c r="T8" s="14">
        <f>IF(A8="","",SUMIFS('Claude Usage Detail'!$P$5:$P$19,'Claude Usage Detail'!$C$5:$C$19,A8&amp;".*"))</f>
        <v/>
      </c>
      <c r="U8" s="15" t="n"/>
      <c r="V8" s="14">
        <f>IF(Q8="","",IF(U8="",J8*Q8/D8,U8)+K8*Q8/D8+L8+N(T8))</f>
        <v/>
      </c>
      <c r="W8" s="30">
        <f>IF(V8="","",V8-N8)</f>
        <v/>
      </c>
    </row>
    <row r="9">
      <c r="A9" s="15" t="n"/>
      <c r="B9" s="15" t="n"/>
      <c r="C9" s="15" t="n"/>
      <c r="D9" s="15" t="n"/>
      <c r="E9" s="5">
        <f>IF(D9="","",D9/5)</f>
        <v/>
      </c>
      <c r="F9" s="26">
        <f>IF(OR(D9="",ProjectStart=""),"",WORKDAY(G8,1))</f>
        <v/>
      </c>
      <c r="G9" s="26">
        <f>IF(F9="","",WORKDAY(F9,D9-1))</f>
        <v/>
      </c>
      <c r="H9" s="24">
        <f>IF(D9="","",D9/SUM($D$5:$D$9))</f>
        <v/>
      </c>
      <c r="I9" s="13">
        <f>IF(D9="","",H9*'Overall'!$F$29)</f>
        <v/>
      </c>
      <c r="J9" s="14">
        <f>IF(D9="","",H9*'Overall'!$G$29)</f>
        <v/>
      </c>
      <c r="K9" s="14">
        <f>IF(D9="","",H9*('Overall'!$D$43+'Overall'!$D$44+'Overall'!$D$45))</f>
        <v/>
      </c>
      <c r="L9" s="14">
        <f>IF(A9="","",SUMIFS('Other Costs'!$C$5:$C$9,'Other Costs'!$F$5:$F$9,A9))</f>
        <v/>
      </c>
      <c r="M9" s="15" t="n"/>
      <c r="N9" s="14">
        <f>IF(D9="","",J9+K9+L9+N(M9))</f>
        <v/>
      </c>
      <c r="O9" s="6" t="n"/>
      <c r="P9" s="6" t="n"/>
      <c r="Q9" s="13">
        <f>IF(OR(D9="",O9="",P9=""),"",NETWORKDAYS(O9,P9))</f>
        <v/>
      </c>
      <c r="R9" s="28">
        <f>IF(Q9="","",Q9-D9)</f>
        <v/>
      </c>
      <c r="S9" s="29">
        <f>IF(Q9="","",Q9/D9-1)</f>
        <v/>
      </c>
      <c r="T9" s="14">
        <f>IF(A9="","",SUMIFS('Claude Usage Detail'!$P$5:$P$19,'Claude Usage Detail'!$C$5:$C$19,A9&amp;".*"))</f>
        <v/>
      </c>
      <c r="U9" s="15" t="n"/>
      <c r="V9" s="14">
        <f>IF(Q9="","",IF(U9="",J9*Q9/D9,U9)+K9*Q9/D9+L9+N(T9))</f>
        <v/>
      </c>
      <c r="W9" s="30">
        <f>IF(V9="","",V9-N9)</f>
        <v/>
      </c>
    </row>
    <row r="10">
      <c r="A10" s="16" t="inlineStr">
        <is>
          <t>Total</t>
        </is>
      </c>
      <c r="B10" s="16" t="n"/>
      <c r="C10" s="16" t="n"/>
      <c r="D10" s="17">
        <f>SUM(D5:D9)</f>
        <v/>
      </c>
      <c r="E10" s="16" t="n"/>
      <c r="F10" s="16" t="n"/>
      <c r="G10" s="16" t="n"/>
      <c r="H10" s="16" t="n"/>
      <c r="I10" s="17">
        <f>SUM(I5:I9)</f>
        <v/>
      </c>
      <c r="J10" s="18">
        <f>SUM(J5:J9)</f>
        <v/>
      </c>
      <c r="K10" s="18">
        <f>SUM(K5:K9)</f>
        <v/>
      </c>
      <c r="L10" s="18">
        <f>SUM(L5:L9)</f>
        <v/>
      </c>
      <c r="M10" s="18">
        <f>SUM(M5:M9)</f>
        <v/>
      </c>
      <c r="N10" s="18">
        <f>SUM(N5:N9)</f>
        <v/>
      </c>
      <c r="O10" s="16" t="n"/>
      <c r="P10" s="16" t="n"/>
      <c r="Q10" s="17">
        <f>SUM(Q5:Q9)</f>
        <v/>
      </c>
      <c r="R10" s="17">
        <f>SUM(R5:R9)</f>
        <v/>
      </c>
      <c r="S10" s="31">
        <f>IF(Q10=0,"",Q10/SUMIFS(D5:D9,Q5:Q9,"&gt;0")-1)</f>
        <v/>
      </c>
      <c r="T10" s="18">
        <f>SUM(T5:T9)</f>
        <v/>
      </c>
      <c r="U10" s="18">
        <f>SUM(U5:U9)</f>
        <v/>
      </c>
      <c r="V10" s="18">
        <f>SUM(V5:V9)</f>
        <v/>
      </c>
      <c r="W10" s="18">
        <f>SUM(W5:W9)</f>
        <v/>
      </c>
      <c r="X10" s="16" t="n"/>
    </row>
    <row r="12">
      <c r="A12">
        <f>IF(D10=DeliveryDays,"The planned epics add up to the days of delivery.","The planned epics add up to "&amp;D10&amp;" working days; the days of delivery input is "&amp;DeliveryDays&amp;". Costs are shared by planned epic days either way.")</f>
        <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2" customWidth="1" min="3" max="3"/>
    <col width="10" customWidth="1" min="4" max="4"/>
    <col width="34" customWidth="1" min="5" max="5"/>
    <col width="14" customWidth="1" min="6" max="6"/>
    <col width="13" customWidth="1" min="7" max="7"/>
    <col width="13" customWidth="1" min="8" max="8"/>
    <col width="15" customWidth="1" min="9" max="9"/>
    <col width="10" customWidth="1" min="10" max="10"/>
    <col width="10" customWidth="1" min="11" max="11"/>
    <col width="34" customWidth="1" min="12" max="12"/>
    <col width="14" customWidth="1" min="13" max="13"/>
    <col width="15" customWidth="1" min="14" max="14"/>
    <col width="15" customWidth="1" min="15" max="15"/>
    <col width="14" customWidth="1" min="16" max="16"/>
  </cols>
  <sheetData>
    <row r="1">
      <c r="A1" s="1" t="inlineStr">
        <is>
          <t>Sprints: forecast and actual</t>
        </is>
      </c>
    </row>
    <row r="2">
      <c r="A2" t="inlineStr">
        <is>
          <t>In USD. Every sprint is a timebox of the Overall input 'Working days per sprint' from the delivery start date. Forecast: the sprint's planned working days (the days of delivery, sprint by sprint) at the delivery team's and the environments' daily cost, plus any Claude API budget. Actual, up to the last actual activity (the latest completed story or day of Claude usage): the days worked in the sprint, the stories completed, the Claude API cost on its days, and the team at the days worked unless timesheets are entered. Sprints past the plan appear when work ran over. Blue cells are inputs.</t>
        </is>
      </c>
    </row>
    <row r="3">
      <c r="A3" t="inlineStr">
        <is>
          <t>Last actual activity</t>
        </is>
      </c>
      <c r="C3" s="26">
        <f>IF(MAX(MAXIFS('Project Timeline'!$F$5:$F$20,'Project Timeline'!$A$5:$A$20,"story"),MAX('Claude Usage Daily'!$A$5:$A$233))=0,"",MAX(MAXIFS('Project Timeline'!$F$5:$F$20,'Project Timeline'!$A$5:$A$20,"story"),MAX('Claude Usage Daily'!$A$5:$A$233)))</f>
        <v/>
      </c>
    </row>
    <row r="4">
      <c r="A4" s="3" t="inlineStr">
        <is>
          <t>Sprint</t>
        </is>
      </c>
      <c r="B4" s="3" t="inlineStr">
        <is>
          <t>Start</t>
        </is>
      </c>
      <c r="C4" s="3" t="inlineStr">
        <is>
          <t>End</t>
        </is>
      </c>
      <c r="D4" s="3" t="inlineStr">
        <is>
          <t>Planned days</t>
        </is>
      </c>
      <c r="E4" s="3" t="inlineStr">
        <is>
          <t>Planned stories</t>
        </is>
      </c>
      <c r="F4" s="3" t="inlineStr">
        <is>
          <t>Team cost (USD)</t>
        </is>
      </c>
      <c r="G4" s="3" t="inlineStr">
        <is>
          <t>Infra cost (USD)</t>
        </is>
      </c>
      <c r="H4" s="3" t="inlineStr">
        <is>
          <t>Claude API budget (USD)</t>
        </is>
      </c>
      <c r="I4" s="3" t="inlineStr">
        <is>
          <t>Forecast total (USD)</t>
        </is>
      </c>
      <c r="J4" s="3" t="inlineStr">
        <is>
          <t>Days worked</t>
        </is>
      </c>
      <c r="K4" s="3" t="inlineStr">
        <is>
          <t>Stories done</t>
        </is>
      </c>
      <c r="L4" s="3" t="inlineStr">
        <is>
          <t>Stories done (list)</t>
        </is>
      </c>
      <c r="M4" s="3" t="inlineStr">
        <is>
          <t>Claude API actual (USD)</t>
        </is>
      </c>
      <c r="N4" s="3" t="inlineStr">
        <is>
          <t>Actual team cost, timesheets (USD)</t>
        </is>
      </c>
      <c r="O4" s="3" t="inlineStr">
        <is>
          <t>Actual total (USD)</t>
        </is>
      </c>
      <c r="P4" s="3" t="inlineStr">
        <is>
          <t>Cost variance (USD)</t>
        </is>
      </c>
    </row>
    <row r="5">
      <c r="A5" s="32" t="n">
        <v>1</v>
      </c>
      <c r="B5" s="26">
        <f>IF(OR(D5="",ProjectStart=""),"",WORKDAY(ProjectStart,(1-1)*SprintDays))</f>
        <v/>
      </c>
      <c r="C5" s="26">
        <f>IF(B5="","",WORKDAY(B5,SprintDays-1))</f>
        <v/>
      </c>
      <c r="D5" s="32">
        <f>IF(OR(MIN(SprintDays,MAX(0,DeliveryDays-(1-1)*SprintDays))&gt;0,AND(ProjectStart&lt;&gt;"",LastActual&lt;&gt;"",WORKDAY(ProjectStart,(1-1)*SprintDays)&lt;=N(LastActual))),MIN(SprintDays,MAX(0,DeliveryDays-(1-1)*SprintDays)),"")</f>
        <v/>
      </c>
      <c r="E5" s="33" t="inlineStr">
        <is>
          <t>1.1 Sign in with Entra ID</t>
        </is>
      </c>
      <c r="F5" s="14">
        <f>IF(D5="","",D5*'Overall'!$G$29/DeliveryDays)</f>
        <v/>
      </c>
      <c r="G5" s="14">
        <f>IF(D5="","",D5*('Overall'!$D$43+'Overall'!$D$44+'Overall'!$D$45)/DeliveryDays)</f>
        <v/>
      </c>
      <c r="H5" s="15" t="n"/>
      <c r="I5" s="14">
        <f>IF(D5="","",F5+G5+N(H5))</f>
        <v/>
      </c>
      <c r="J5" s="32">
        <f>IF(OR(B5="",LastActual="",B5&gt;N(LastActual)),"",NETWORKDAYS(B5,MIN(C5,LastActual)))</f>
        <v/>
      </c>
      <c r="K5" s="32">
        <f>IF(J5="","",COUNTIFS('Project Timeline'!$A$5:$A$20,"story",'Project Timeline'!$F$5:$F$20,"&gt;="&amp;B5,'Project Timeline'!$F$5:$F$20,"&lt;="&amp;C5))</f>
        <v/>
      </c>
      <c r="M5" s="14">
        <f>IF(J5="","",SUMIFS('Claude Usage Daily'!$O$5:$O$233,'Claude Usage Daily'!$A$5:$A$233,"&gt;="&amp;B5,'Claude Usage Daily'!$A$5:$A$233,"&lt;="&amp;C5))</f>
        <v/>
      </c>
      <c r="N5" s="15" t="n"/>
      <c r="O5" s="14">
        <f>IF(J5="","",IF(N5="",J5*'Overall'!$G$29/DeliveryDays,N5)+J5*('Overall'!$D$43+'Overall'!$D$44+'Overall'!$D$45)/DeliveryDays+N(M5))</f>
        <v/>
      </c>
      <c r="P5" s="30">
        <f>IF(O5="","",O5-N(I5))</f>
        <v/>
      </c>
    </row>
    <row r="6">
      <c r="A6" s="32" t="n">
        <v>2</v>
      </c>
      <c r="B6" s="26">
        <f>IF(OR(D6="",ProjectStart=""),"",WORKDAY(ProjectStart,(2-1)*SprintDays))</f>
        <v/>
      </c>
      <c r="C6" s="26">
        <f>IF(B6="","",WORKDAY(B6,SprintDays-1))</f>
        <v/>
      </c>
      <c r="D6" s="32">
        <f>IF(OR(MIN(SprintDays,MAX(0,DeliveryDays-(2-1)*SprintDays))&gt;0,AND(ProjectStart&lt;&gt;"",LastActual&lt;&gt;"",WORKDAY(ProjectStart,(2-1)*SprintDays)&lt;=N(LastActual))),MIN(SprintDays,MAX(0,DeliveryDays-(2-1)*SprintDays)),"")</f>
        <v/>
      </c>
      <c r="E6" s="33" t="inlineStr">
        <is>
          <t>1.2 Start an application</t>
        </is>
      </c>
      <c r="F6" s="14">
        <f>IF(D6="","",D6*'Overall'!$G$29/DeliveryDays)</f>
        <v/>
      </c>
      <c r="G6" s="14">
        <f>IF(D6="","",D6*('Overall'!$D$43+'Overall'!$D$44+'Overall'!$D$45)/DeliveryDays)</f>
        <v/>
      </c>
      <c r="H6" s="15" t="n"/>
      <c r="I6" s="14">
        <f>IF(D6="","",F6+G6+N(H6))</f>
        <v/>
      </c>
      <c r="J6" s="32">
        <f>IF(OR(B6="",LastActual="",B6&gt;N(LastActual)),"",NETWORKDAYS(B6,MIN(C6,LastActual)))</f>
        <v/>
      </c>
      <c r="K6" s="32">
        <f>IF(J6="","",COUNTIFS('Project Timeline'!$A$5:$A$20,"story",'Project Timeline'!$F$5:$F$20,"&gt;="&amp;B6,'Project Timeline'!$F$5:$F$20,"&lt;="&amp;C6))</f>
        <v/>
      </c>
      <c r="L6" s="25" t="inlineStr">
        <is>
          <t>1-1-sign-in</t>
        </is>
      </c>
      <c r="M6" s="14">
        <f>IF(J6="","",SUMIFS('Claude Usage Daily'!$O$5:$O$233,'Claude Usage Daily'!$A$5:$A$233,"&gt;="&amp;B6,'Claude Usage Daily'!$A$5:$A$233,"&lt;="&amp;C6))</f>
        <v/>
      </c>
      <c r="N6" s="15" t="n"/>
      <c r="O6" s="14">
        <f>IF(J6="","",IF(N6="",J6*'Overall'!$G$29/DeliveryDays,N6)+J6*('Overall'!$D$43+'Overall'!$D$44+'Overall'!$D$45)/DeliveryDays+N(M6))</f>
        <v/>
      </c>
      <c r="P6" s="30">
        <f>IF(O6="","",O6-N(I6))</f>
        <v/>
      </c>
    </row>
    <row r="7">
      <c r="A7" s="32" t="n">
        <v>3</v>
      </c>
      <c r="B7" s="26">
        <f>IF(OR(D7="",ProjectStart=""),"",WORKDAY(ProjectStart,(3-1)*SprintDays))</f>
        <v/>
      </c>
      <c r="C7" s="26">
        <f>IF(B7="","",WORKDAY(B7,SprintDays-1))</f>
        <v/>
      </c>
      <c r="D7" s="32">
        <f>IF(OR(MIN(SprintDays,MAX(0,DeliveryDays-(3-1)*SprintDays))&gt;0,AND(ProjectStart&lt;&gt;"",LastActual&lt;&gt;"",WORKDAY(ProjectStart,(3-1)*SprintDays)&lt;=N(LastActual))),MIN(SprintDays,MAX(0,DeliveryDays-(3-1)*SprintDays)),"")</f>
        <v/>
      </c>
      <c r="E7" s="33" t="inlineStr">
        <is>
          <t>1.2 Start an application
1.3 Upload documents</t>
        </is>
      </c>
      <c r="F7" s="14">
        <f>IF(D7="","",D7*'Overall'!$G$29/DeliveryDays)</f>
        <v/>
      </c>
      <c r="G7" s="14">
        <f>IF(D7="","",D7*('Overall'!$D$43+'Overall'!$D$44+'Overall'!$D$45)/DeliveryDays)</f>
        <v/>
      </c>
      <c r="H7" s="15" t="n"/>
      <c r="I7" s="14">
        <f>IF(D7="","",F7+G7+N(H7))</f>
        <v/>
      </c>
      <c r="J7" s="32">
        <f>IF(OR(B7="",LastActual="",B7&gt;N(LastActual)),"",NETWORKDAYS(B7,MIN(C7,LastActual)))</f>
        <v/>
      </c>
      <c r="K7" s="32">
        <f>IF(J7="","",COUNTIFS('Project Timeline'!$A$5:$A$20,"story",'Project Timeline'!$F$5:$F$20,"&gt;="&amp;B7,'Project Timeline'!$F$5:$F$20,"&lt;="&amp;C7))</f>
        <v/>
      </c>
      <c r="L7" s="25" t="inlineStr">
        <is>
          <t>1-2-start-application</t>
        </is>
      </c>
      <c r="M7" s="14">
        <f>IF(J7="","",SUMIFS('Claude Usage Daily'!$O$5:$O$233,'Claude Usage Daily'!$A$5:$A$233,"&gt;="&amp;B7,'Claude Usage Daily'!$A$5:$A$233,"&lt;="&amp;C7))</f>
        <v/>
      </c>
      <c r="N7" s="15" t="n"/>
      <c r="O7" s="14">
        <f>IF(J7="","",IF(N7="",J7*'Overall'!$G$29/DeliveryDays,N7)+J7*('Overall'!$D$43+'Overall'!$D$44+'Overall'!$D$45)/DeliveryDays+N(M7))</f>
        <v/>
      </c>
      <c r="P7" s="30">
        <f>IF(O7="","",O7-N(I7))</f>
        <v/>
      </c>
    </row>
    <row r="8">
      <c r="A8" s="32" t="n">
        <v>4</v>
      </c>
      <c r="B8" s="26">
        <f>IF(OR(D8="",ProjectStart=""),"",WORKDAY(ProjectStart,(4-1)*SprintDays))</f>
        <v/>
      </c>
      <c r="C8" s="26">
        <f>IF(B8="","",WORKDAY(B8,SprintDays-1))</f>
        <v/>
      </c>
      <c r="D8" s="32">
        <f>IF(OR(MIN(SprintDays,MAX(0,DeliveryDays-(4-1)*SprintDays))&gt;0,AND(ProjectStart&lt;&gt;"",LastActual&lt;&gt;"",WORKDAY(ProjectStart,(4-1)*SprintDays)&lt;=N(LastActual))),MIN(SprintDays,MAX(0,DeliveryDays-(4-1)*SprintDays)),"")</f>
        <v/>
      </c>
      <c r="E8" s="33" t="inlineStr">
        <is>
          <t>1.3 Upload documents</t>
        </is>
      </c>
      <c r="F8" s="14">
        <f>IF(D8="","",D8*'Overall'!$G$29/DeliveryDays)</f>
        <v/>
      </c>
      <c r="G8" s="14">
        <f>IF(D8="","",D8*('Overall'!$D$43+'Overall'!$D$44+'Overall'!$D$45)/DeliveryDays)</f>
        <v/>
      </c>
      <c r="H8" s="15" t="n"/>
      <c r="I8" s="14">
        <f>IF(D8="","",F8+G8+N(H8))</f>
        <v/>
      </c>
      <c r="J8" s="32">
        <f>IF(OR(B8="",LastActual="",B8&gt;N(LastActual)),"",NETWORKDAYS(B8,MIN(C8,LastActual)))</f>
        <v/>
      </c>
      <c r="K8" s="32">
        <f>IF(J8="","",COUNTIFS('Project Timeline'!$A$5:$A$20,"story",'Project Timeline'!$F$5:$F$20,"&gt;="&amp;B8,'Project Timeline'!$F$5:$F$20,"&lt;="&amp;C8))</f>
        <v/>
      </c>
      <c r="L8" s="25" t="inlineStr">
        <is>
          <t>1-3-upload-documents</t>
        </is>
      </c>
      <c r="M8" s="14">
        <f>IF(J8="","",SUMIFS('Claude Usage Daily'!$O$5:$O$233,'Claude Usage Daily'!$A$5:$A$233,"&gt;="&amp;B8,'Claude Usage Daily'!$A$5:$A$233,"&lt;="&amp;C8))</f>
        <v/>
      </c>
      <c r="N8" s="15" t="n"/>
      <c r="O8" s="14">
        <f>IF(J8="","",IF(N8="",J8*'Overall'!$G$29/DeliveryDays,N8)+J8*('Overall'!$D$43+'Overall'!$D$44+'Overall'!$D$45)/DeliveryDays+N(M8))</f>
        <v/>
      </c>
      <c r="P8" s="30">
        <f>IF(O8="","",O8-N(I8))</f>
        <v/>
      </c>
    </row>
    <row r="9">
      <c r="A9" s="32" t="n">
        <v>5</v>
      </c>
      <c r="B9" s="26">
        <f>IF(OR(D9="",ProjectStart=""),"",WORKDAY(ProjectStart,(5-1)*SprintDays))</f>
        <v/>
      </c>
      <c r="C9" s="26">
        <f>IF(B9="","",WORKDAY(B9,SprintDays-1))</f>
        <v/>
      </c>
      <c r="D9" s="32">
        <f>IF(OR(MIN(SprintDays,MAX(0,DeliveryDays-(5-1)*SprintDays))&gt;0,AND(ProjectStart&lt;&gt;"",LastActual&lt;&gt;"",WORKDAY(ProjectStart,(5-1)*SprintDays)&lt;=N(LastActual))),MIN(SprintDays,MAX(0,DeliveryDays-(5-1)*SprintDays)),"")</f>
        <v/>
      </c>
      <c r="E9" s="33" t="inlineStr">
        <is>
          <t>2.1 Review queue</t>
        </is>
      </c>
      <c r="F9" s="14">
        <f>IF(D9="","",D9*'Overall'!$G$29/DeliveryDays)</f>
        <v/>
      </c>
      <c r="G9" s="14">
        <f>IF(D9="","",D9*('Overall'!$D$43+'Overall'!$D$44+'Overall'!$D$45)/DeliveryDays)</f>
        <v/>
      </c>
      <c r="H9" s="15" t="n"/>
      <c r="I9" s="14">
        <f>IF(D9="","",F9+G9+N(H9))</f>
        <v/>
      </c>
      <c r="J9" s="32">
        <f>IF(OR(B9="",LastActual="",B9&gt;N(LastActual)),"",NETWORKDAYS(B9,MIN(C9,LastActual)))</f>
        <v/>
      </c>
      <c r="K9" s="32">
        <f>IF(J9="","",COUNTIFS('Project Timeline'!$A$5:$A$20,"story",'Project Timeline'!$F$5:$F$20,"&gt;="&amp;B9,'Project Timeline'!$F$5:$F$20,"&lt;="&amp;C9))</f>
        <v/>
      </c>
      <c r="M9" s="14">
        <f>IF(J9="","",SUMIFS('Claude Usage Daily'!$O$5:$O$233,'Claude Usage Daily'!$A$5:$A$233,"&gt;="&amp;B9,'Claude Usage Daily'!$A$5:$A$233,"&lt;="&amp;C9))</f>
        <v/>
      </c>
      <c r="N9" s="15" t="n"/>
      <c r="O9" s="14">
        <f>IF(J9="","",IF(N9="",J9*'Overall'!$G$29/DeliveryDays,N9)+J9*('Overall'!$D$43+'Overall'!$D$44+'Overall'!$D$45)/DeliveryDays+N(M9))</f>
        <v/>
      </c>
      <c r="P9" s="30">
        <f>IF(O9="","",O9-N(I9))</f>
        <v/>
      </c>
    </row>
    <row r="10">
      <c r="A10" s="32" t="n">
        <v>6</v>
      </c>
      <c r="B10" s="26">
        <f>IF(OR(D10="",ProjectStart=""),"",WORKDAY(ProjectStart,(6-1)*SprintDays))</f>
        <v/>
      </c>
      <c r="C10" s="26">
        <f>IF(B10="","",WORKDAY(B10,SprintDays-1))</f>
        <v/>
      </c>
      <c r="D10" s="32">
        <f>IF(OR(MIN(SprintDays,MAX(0,DeliveryDays-(6-1)*SprintDays))&gt;0,AND(ProjectStart&lt;&gt;"",LastActual&lt;&gt;"",WORKDAY(ProjectStart,(6-1)*SprintDays)&lt;=N(LastActual))),MIN(SprintDays,MAX(0,DeliveryDays-(6-1)*SprintDays)),"")</f>
        <v/>
      </c>
      <c r="E10" s="33" t="inlineStr">
        <is>
          <t>2.1 Review queue
2.2 Approve or reject</t>
        </is>
      </c>
      <c r="F10" s="14">
        <f>IF(D10="","",D10*'Overall'!$G$29/DeliveryDays)</f>
        <v/>
      </c>
      <c r="G10" s="14">
        <f>IF(D10="","",D10*('Overall'!$D$43+'Overall'!$D$44+'Overall'!$D$45)/DeliveryDays)</f>
        <v/>
      </c>
      <c r="H10" s="15" t="n"/>
      <c r="I10" s="14">
        <f>IF(D10="","",F10+G10+N(H10))</f>
        <v/>
      </c>
      <c r="J10" s="32">
        <f>IF(OR(B10="",LastActual="",B10&gt;N(LastActual)),"",NETWORKDAYS(B10,MIN(C10,LastActual)))</f>
        <v/>
      </c>
      <c r="K10" s="32">
        <f>IF(J10="","",COUNTIFS('Project Timeline'!$A$5:$A$20,"story",'Project Timeline'!$F$5:$F$20,"&gt;="&amp;B10,'Project Timeline'!$F$5:$F$20,"&lt;="&amp;C10))</f>
        <v/>
      </c>
      <c r="L10" s="25" t="inlineStr">
        <is>
          <t>2-1-review-queue</t>
        </is>
      </c>
      <c r="M10" s="14">
        <f>IF(J10="","",SUMIFS('Claude Usage Daily'!$O$5:$O$233,'Claude Usage Daily'!$A$5:$A$233,"&gt;="&amp;B10,'Claude Usage Daily'!$A$5:$A$233,"&lt;="&amp;C10))</f>
        <v/>
      </c>
      <c r="N10" s="15" t="n"/>
      <c r="O10" s="14">
        <f>IF(J10="","",IF(N10="",J10*'Overall'!$G$29/DeliveryDays,N10)+J10*('Overall'!$D$43+'Overall'!$D$44+'Overall'!$D$45)/DeliveryDays+N(M10))</f>
        <v/>
      </c>
      <c r="P10" s="30">
        <f>IF(O10="","",O10-N(I10))</f>
        <v/>
      </c>
    </row>
    <row r="11">
      <c r="A11" s="32" t="n">
        <v>7</v>
      </c>
      <c r="B11" s="26">
        <f>IF(OR(D11="",ProjectStart=""),"",WORKDAY(ProjectStart,(7-1)*SprintDays))</f>
        <v/>
      </c>
      <c r="C11" s="26">
        <f>IF(B11="","",WORKDAY(B11,SprintDays-1))</f>
        <v/>
      </c>
      <c r="D11" s="32">
        <f>IF(OR(MIN(SprintDays,MAX(0,DeliveryDays-(7-1)*SprintDays))&gt;0,AND(ProjectStart&lt;&gt;"",LastActual&lt;&gt;"",WORKDAY(ProjectStart,(7-1)*SprintDays)&lt;=N(LastActual))),MIN(SprintDays,MAX(0,DeliveryDays-(7-1)*SprintDays)),"")</f>
        <v/>
      </c>
      <c r="E11" s="33" t="inlineStr">
        <is>
          <t>2.2 Approve or reject</t>
        </is>
      </c>
      <c r="F11" s="14">
        <f>IF(D11="","",D11*'Overall'!$G$29/DeliveryDays)</f>
        <v/>
      </c>
      <c r="G11" s="14">
        <f>IF(D11="","",D11*('Overall'!$D$43+'Overall'!$D$44+'Overall'!$D$45)/DeliveryDays)</f>
        <v/>
      </c>
      <c r="H11" s="15" t="n"/>
      <c r="I11" s="14">
        <f>IF(D11="","",F11+G11+N(H11))</f>
        <v/>
      </c>
      <c r="J11" s="32">
        <f>IF(OR(B11="",LastActual="",B11&gt;N(LastActual)),"",NETWORKDAYS(B11,MIN(C11,LastActual)))</f>
        <v/>
      </c>
      <c r="K11" s="32">
        <f>IF(J11="","",COUNTIFS('Project Timeline'!$A$5:$A$20,"story",'Project Timeline'!$F$5:$F$20,"&gt;="&amp;B11,'Project Timeline'!$F$5:$F$20,"&lt;="&amp;C11))</f>
        <v/>
      </c>
      <c r="L11" s="25" t="inlineStr">
        <is>
          <t>2-2-approve-or-reject</t>
        </is>
      </c>
      <c r="M11" s="14">
        <f>IF(J11="","",SUMIFS('Claude Usage Daily'!$O$5:$O$233,'Claude Usage Daily'!$A$5:$A$233,"&gt;="&amp;B11,'Claude Usage Daily'!$A$5:$A$233,"&lt;="&amp;C11))</f>
        <v/>
      </c>
      <c r="N11" s="15" t="n"/>
      <c r="O11" s="14">
        <f>IF(J11="","",IF(N11="",J11*'Overall'!$G$29/DeliveryDays,N11)+J11*('Overall'!$D$43+'Overall'!$D$44+'Overall'!$D$45)/DeliveryDays+N(M11))</f>
        <v/>
      </c>
      <c r="P11" s="30">
        <f>IF(O11="","",O11-N(I11))</f>
        <v/>
      </c>
    </row>
    <row r="12">
      <c r="A12" s="32" t="n">
        <v>8</v>
      </c>
      <c r="B12" s="26">
        <f>IF(OR(D12="",ProjectStart=""),"",WORKDAY(ProjectStart,(8-1)*SprintDays))</f>
        <v/>
      </c>
      <c r="C12" s="26">
        <f>IF(B12="","",WORKDAY(B12,SprintDays-1))</f>
        <v/>
      </c>
      <c r="D12" s="32">
        <f>IF(OR(MIN(SprintDays,MAX(0,DeliveryDays-(8-1)*SprintDays))&gt;0,AND(ProjectStart&lt;&gt;"",LastActual&lt;&gt;"",WORKDAY(ProjectStart,(8-1)*SprintDays)&lt;=N(LastActual))),MIN(SprintDays,MAX(0,DeliveryDays-(8-1)*SprintDays)),"")</f>
        <v/>
      </c>
      <c r="E12" s="33" t="inlineStr">
        <is>
          <t>2.3 Notify the customer</t>
        </is>
      </c>
      <c r="F12" s="14">
        <f>IF(D12="","",D12*'Overall'!$G$29/DeliveryDays)</f>
        <v/>
      </c>
      <c r="G12" s="14">
        <f>IF(D12="","",D12*('Overall'!$D$43+'Overall'!$D$44+'Overall'!$D$45)/DeliveryDays)</f>
        <v/>
      </c>
      <c r="H12" s="15" t="n"/>
      <c r="I12" s="14">
        <f>IF(D12="","",F12+G12+N(H12))</f>
        <v/>
      </c>
      <c r="J12" s="32">
        <f>IF(OR(B12="",LastActual="",B12&gt;N(LastActual)),"",NETWORKDAYS(B12,MIN(C12,LastActual)))</f>
        <v/>
      </c>
      <c r="K12" s="32">
        <f>IF(J12="","",COUNTIFS('Project Timeline'!$A$5:$A$20,"story",'Project Timeline'!$F$5:$F$20,"&gt;="&amp;B12,'Project Timeline'!$F$5:$F$20,"&lt;="&amp;C12))</f>
        <v/>
      </c>
      <c r="M12" s="14">
        <f>IF(J12="","",SUMIFS('Claude Usage Daily'!$O$5:$O$233,'Claude Usage Daily'!$A$5:$A$233,"&gt;="&amp;B12,'Claude Usage Daily'!$A$5:$A$233,"&lt;="&amp;C12))</f>
        <v/>
      </c>
      <c r="N12" s="15" t="n"/>
      <c r="O12" s="14">
        <f>IF(J12="","",IF(N12="",J12*'Overall'!$G$29/DeliveryDays,N12)+J12*('Overall'!$D$43+'Overall'!$D$44+'Overall'!$D$45)/DeliveryDays+N(M12))</f>
        <v/>
      </c>
      <c r="P12" s="30">
        <f>IF(O12="","",O12-N(I12))</f>
        <v/>
      </c>
    </row>
    <row r="13">
      <c r="A13" s="32" t="n">
        <v>9</v>
      </c>
      <c r="B13" s="26">
        <f>IF(OR(D13="",ProjectStart=""),"",WORKDAY(ProjectStart,(9-1)*SprintDays))</f>
        <v/>
      </c>
      <c r="C13" s="26">
        <f>IF(B13="","",WORKDAY(B13,SprintDays-1))</f>
        <v/>
      </c>
      <c r="D13" s="32">
        <f>IF(OR(MIN(SprintDays,MAX(0,DeliveryDays-(9-1)*SprintDays))&gt;0,AND(ProjectStart&lt;&gt;"",LastActual&lt;&gt;"",WORKDAY(ProjectStart,(9-1)*SprintDays)&lt;=N(LastActual))),MIN(SprintDays,MAX(0,DeliveryDays-(9-1)*SprintDays)),"")</f>
        <v/>
      </c>
      <c r="E13" s="33" t="inlineStr">
        <is>
          <t>2.3 Notify the customer</t>
        </is>
      </c>
      <c r="F13" s="14">
        <f>IF(D13="","",D13*'Overall'!$G$29/DeliveryDays)</f>
        <v/>
      </c>
      <c r="G13" s="14">
        <f>IF(D13="","",D13*('Overall'!$D$43+'Overall'!$D$44+'Overall'!$D$45)/DeliveryDays)</f>
        <v/>
      </c>
      <c r="H13" s="15" t="n"/>
      <c r="I13" s="14">
        <f>IF(D13="","",F13+G13+N(H13))</f>
        <v/>
      </c>
      <c r="J13" s="32">
        <f>IF(OR(B13="",LastActual="",B13&gt;N(LastActual)),"",NETWORKDAYS(B13,MIN(C13,LastActual)))</f>
        <v/>
      </c>
      <c r="K13" s="32">
        <f>IF(J13="","",COUNTIFS('Project Timeline'!$A$5:$A$20,"story",'Project Timeline'!$F$5:$F$20,"&gt;="&amp;B13,'Project Timeline'!$F$5:$F$20,"&lt;="&amp;C13))</f>
        <v/>
      </c>
      <c r="L13" s="25" t="inlineStr">
        <is>
          <t>2-3-notify-customer</t>
        </is>
      </c>
      <c r="M13" s="14">
        <f>IF(J13="","",SUMIFS('Claude Usage Daily'!$O$5:$O$233,'Claude Usage Daily'!$A$5:$A$233,"&gt;="&amp;B13,'Claude Usage Daily'!$A$5:$A$233,"&lt;="&amp;C13))</f>
        <v/>
      </c>
      <c r="N13" s="15" t="n"/>
      <c r="O13" s="14">
        <f>IF(J13="","",IF(N13="",J13*'Overall'!$G$29/DeliveryDays,N13)+J13*('Overall'!$D$43+'Overall'!$D$44+'Overall'!$D$45)/DeliveryDays+N(M13))</f>
        <v/>
      </c>
      <c r="P13" s="30">
        <f>IF(O13="","",O13-N(I13))</f>
        <v/>
      </c>
    </row>
    <row r="14">
      <c r="A14" s="32" t="n">
        <v>10</v>
      </c>
      <c r="B14" s="26">
        <f>IF(OR(D14="",ProjectStart=""),"",WORKDAY(ProjectStart,(10-1)*SprintDays))</f>
        <v/>
      </c>
      <c r="C14" s="26">
        <f>IF(B14="","",WORKDAY(B14,SprintDays-1))</f>
        <v/>
      </c>
      <c r="D14" s="32">
        <f>IF(OR(MIN(SprintDays,MAX(0,DeliveryDays-(10-1)*SprintDays))&gt;0,AND(ProjectStart&lt;&gt;"",LastActual&lt;&gt;"",WORKDAY(ProjectStart,(10-1)*SprintDays)&lt;=N(LastActual))),MIN(SprintDays,MAX(0,DeliveryDays-(10-1)*SprintDays)),"")</f>
        <v/>
      </c>
      <c r="E14" s="15" t="n"/>
      <c r="F14" s="14">
        <f>IF(D14="","",D14*'Overall'!$G$29/DeliveryDays)</f>
        <v/>
      </c>
      <c r="G14" s="14">
        <f>IF(D14="","",D14*('Overall'!$D$43+'Overall'!$D$44+'Overall'!$D$45)/DeliveryDays)</f>
        <v/>
      </c>
      <c r="H14" s="15" t="n"/>
      <c r="I14" s="14">
        <f>IF(D14="","",F14+G14+N(H14))</f>
        <v/>
      </c>
      <c r="J14" s="32">
        <f>IF(OR(B14="",LastActual="",B14&gt;N(LastActual)),"",NETWORKDAYS(B14,MIN(C14,LastActual)))</f>
        <v/>
      </c>
      <c r="K14" s="32">
        <f>IF(J14="","",COUNTIFS('Project Timeline'!$A$5:$A$20,"story",'Project Timeline'!$F$5:$F$20,"&gt;="&amp;B14,'Project Timeline'!$F$5:$F$20,"&lt;="&amp;C14))</f>
        <v/>
      </c>
      <c r="M14" s="14">
        <f>IF(J14="","",SUMIFS('Claude Usage Daily'!$O$5:$O$233,'Claude Usage Daily'!$A$5:$A$233,"&gt;="&amp;B14,'Claude Usage Daily'!$A$5:$A$233,"&lt;="&amp;C14))</f>
        <v/>
      </c>
      <c r="N14" s="15" t="n"/>
      <c r="O14" s="14">
        <f>IF(J14="","",IF(N14="",J14*'Overall'!$G$29/DeliveryDays,N14)+J14*('Overall'!$D$43+'Overall'!$D$44+'Overall'!$D$45)/DeliveryDays+N(M14))</f>
        <v/>
      </c>
      <c r="P14" s="30">
        <f>IF(O14="","",O14-N(I14))</f>
        <v/>
      </c>
    </row>
    <row r="15">
      <c r="A15" s="32" t="n">
        <v>11</v>
      </c>
      <c r="B15" s="26">
        <f>IF(OR(D15="",ProjectStart=""),"",WORKDAY(ProjectStart,(11-1)*SprintDays))</f>
        <v/>
      </c>
      <c r="C15" s="26">
        <f>IF(B15="","",WORKDAY(B15,SprintDays-1))</f>
        <v/>
      </c>
      <c r="D15" s="32">
        <f>IF(OR(MIN(SprintDays,MAX(0,DeliveryDays-(11-1)*SprintDays))&gt;0,AND(ProjectStart&lt;&gt;"",LastActual&lt;&gt;"",WORKDAY(ProjectStart,(11-1)*SprintDays)&lt;=N(LastActual))),MIN(SprintDays,MAX(0,DeliveryDays-(11-1)*SprintDays)),"")</f>
        <v/>
      </c>
      <c r="E15" s="15" t="n"/>
      <c r="F15" s="14">
        <f>IF(D15="","",D15*'Overall'!$G$29/DeliveryDays)</f>
        <v/>
      </c>
      <c r="G15" s="14">
        <f>IF(D15="","",D15*('Overall'!$D$43+'Overall'!$D$44+'Overall'!$D$45)/DeliveryDays)</f>
        <v/>
      </c>
      <c r="H15" s="15" t="n"/>
      <c r="I15" s="14">
        <f>IF(D15="","",F15+G15+N(H15))</f>
        <v/>
      </c>
      <c r="J15" s="32">
        <f>IF(OR(B15="",LastActual="",B15&gt;N(LastActual)),"",NETWORKDAYS(B15,MIN(C15,LastActual)))</f>
        <v/>
      </c>
      <c r="K15" s="32">
        <f>IF(J15="","",COUNTIFS('Project Timeline'!$A$5:$A$20,"story",'Project Timeline'!$F$5:$F$20,"&gt;="&amp;B15,'Project Timeline'!$F$5:$F$20,"&lt;="&amp;C15))</f>
        <v/>
      </c>
      <c r="M15" s="14">
        <f>IF(J15="","",SUMIFS('Claude Usage Daily'!$O$5:$O$233,'Claude Usage Daily'!$A$5:$A$233,"&gt;="&amp;B15,'Claude Usage Daily'!$A$5:$A$233,"&lt;="&amp;C15))</f>
        <v/>
      </c>
      <c r="N15" s="15" t="n"/>
      <c r="O15" s="14">
        <f>IF(J15="","",IF(N15="",J15*'Overall'!$G$29/DeliveryDays,N15)+J15*('Overall'!$D$43+'Overall'!$D$44+'Overall'!$D$45)/DeliveryDays+N(M15))</f>
        <v/>
      </c>
      <c r="P15" s="30">
        <f>IF(O15="","",O15-N(I15))</f>
        <v/>
      </c>
    </row>
    <row r="16">
      <c r="A16" s="32" t="n">
        <v>12</v>
      </c>
      <c r="B16" s="26">
        <f>IF(OR(D16="",ProjectStart=""),"",WORKDAY(ProjectStart,(12-1)*SprintDays))</f>
        <v/>
      </c>
      <c r="C16" s="26">
        <f>IF(B16="","",WORKDAY(B16,SprintDays-1))</f>
        <v/>
      </c>
      <c r="D16" s="32">
        <f>IF(OR(MIN(SprintDays,MAX(0,DeliveryDays-(12-1)*SprintDays))&gt;0,AND(ProjectStart&lt;&gt;"",LastActual&lt;&gt;"",WORKDAY(ProjectStart,(12-1)*SprintDays)&lt;=N(LastActual))),MIN(SprintDays,MAX(0,DeliveryDays-(12-1)*SprintDays)),"")</f>
        <v/>
      </c>
      <c r="E16" s="15" t="n"/>
      <c r="F16" s="14">
        <f>IF(D16="","",D16*'Overall'!$G$29/DeliveryDays)</f>
        <v/>
      </c>
      <c r="G16" s="14">
        <f>IF(D16="","",D16*('Overall'!$D$43+'Overall'!$D$44+'Overall'!$D$45)/DeliveryDays)</f>
        <v/>
      </c>
      <c r="H16" s="15" t="n"/>
      <c r="I16" s="14">
        <f>IF(D16="","",F16+G16+N(H16))</f>
        <v/>
      </c>
      <c r="J16" s="32">
        <f>IF(OR(B16="",LastActual="",B16&gt;N(LastActual)),"",NETWORKDAYS(B16,MIN(C16,LastActual)))</f>
        <v/>
      </c>
      <c r="K16" s="32">
        <f>IF(J16="","",COUNTIFS('Project Timeline'!$A$5:$A$20,"story",'Project Timeline'!$F$5:$F$20,"&gt;="&amp;B16,'Project Timeline'!$F$5:$F$20,"&lt;="&amp;C16))</f>
        <v/>
      </c>
      <c r="M16" s="14">
        <f>IF(J16="","",SUMIFS('Claude Usage Daily'!$O$5:$O$233,'Claude Usage Daily'!$A$5:$A$233,"&gt;="&amp;B16,'Claude Usage Daily'!$A$5:$A$233,"&lt;="&amp;C16))</f>
        <v/>
      </c>
      <c r="N16" s="15" t="n"/>
      <c r="O16" s="14">
        <f>IF(J16="","",IF(N16="",J16*'Overall'!$G$29/DeliveryDays,N16)+J16*('Overall'!$D$43+'Overall'!$D$44+'Overall'!$D$45)/DeliveryDays+N(M16))</f>
        <v/>
      </c>
      <c r="P16" s="30">
        <f>IF(O16="","",O16-N(I16))</f>
        <v/>
      </c>
    </row>
    <row r="17">
      <c r="A17" s="16" t="inlineStr">
        <is>
          <t>Total</t>
        </is>
      </c>
      <c r="B17" s="16" t="n"/>
      <c r="C17" s="16" t="n"/>
      <c r="D17" s="34">
        <f>SUM(D5:D16)</f>
        <v/>
      </c>
      <c r="E17" s="16" t="n"/>
      <c r="F17" s="18">
        <f>SUM(F5:F16)</f>
        <v/>
      </c>
      <c r="G17" s="18">
        <f>SUM(G5:G16)</f>
        <v/>
      </c>
      <c r="H17" s="18">
        <f>SUM(H5:H16)</f>
        <v/>
      </c>
      <c r="I17" s="18">
        <f>SUM(I5:I16)</f>
        <v/>
      </c>
      <c r="J17" s="34">
        <f>SUM(J5:J16)</f>
        <v/>
      </c>
      <c r="K17" s="34">
        <f>SUM(K5:K16)</f>
        <v/>
      </c>
      <c r="L17" s="16" t="n"/>
      <c r="M17" s="18">
        <f>SUM(M5:M16)</f>
        <v/>
      </c>
      <c r="N17" s="18">
        <f>SUM(N5:N16)</f>
        <v/>
      </c>
      <c r="O17" s="18">
        <f>SUM(O5:O16)</f>
        <v/>
      </c>
      <c r="P17" s="18">
        <f>SUM(P5:P16)</f>
        <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4" customWidth="1" min="4" max="4"/>
    <col width="11" customWidth="1" min="5" max="5"/>
    <col width="40" customWidth="1" min="6" max="6"/>
  </cols>
  <sheetData>
    <row r="1">
      <c r="A1" s="1" t="inlineStr">
        <is>
          <t>Phase budgets: Claude API budget and actual per planning phase</t>
        </is>
      </c>
    </row>
    <row r="2">
      <c r="A2" t="inlineStr">
        <is>
          <t>In USD, at Claude API list prices. The budget each planning phase may spend (test design, governance, diagrams, course corrections ...), set once the epics and sprint plan are done; the epics and sprints carry their own budgets on their sheets. Actual: the phase's Claude cost from the ledger (Claude Usage Detail) once the close-out sheets are in. A control figure: not added to any total. Blue cells are inputs; name a phase as the token ledger does.</t>
        </is>
      </c>
    </row>
    <row r="4">
      <c r="A4" s="3" t="inlineStr">
        <is>
          <t>Phase</t>
        </is>
      </c>
      <c r="B4" s="3" t="inlineStr">
        <is>
          <t>Claude API budget (USD)</t>
        </is>
      </c>
      <c r="C4" s="3" t="inlineStr">
        <is>
          <t>Claude API actual (USD)</t>
        </is>
      </c>
      <c r="D4" s="3" t="inlineStr">
        <is>
          <t>Variance (USD)</t>
        </is>
      </c>
      <c r="E4" s="3" t="inlineStr">
        <is>
          <t>Variance %</t>
        </is>
      </c>
      <c r="F4" s="3" t="inlineStr">
        <is>
          <t>Cited from</t>
        </is>
      </c>
    </row>
    <row r="5">
      <c r="A5" s="15" t="inlineStr">
        <is>
          <t>governance (Jules)</t>
        </is>
      </c>
      <c r="B5" s="27" t="n">
        <v>40</v>
      </c>
      <c r="C5" s="14">
        <f>IF(A5="","",SUMIFS('Claude Usage Detail'!$P$5:$P$19,'Claude Usage Detail'!$B$5:$B$19,A5))</f>
        <v/>
      </c>
      <c r="D5" s="30">
        <f>IF(OR(A5="",C5=""),"",C5-N(B5))</f>
        <v/>
      </c>
      <c r="E5" s="29">
        <f>IF(OR(D5="",N(B5)=0),"",C5/B5-1)</f>
        <v/>
      </c>
      <c r="F5" s="25" t="inlineStr">
        <is>
          <t>owner: Delivery Manager (synthetic), 2026-09-28</t>
        </is>
      </c>
    </row>
    <row r="6">
      <c r="A6" s="15" t="inlineStr">
        <is>
          <t>architecture docs (Da Vinci)</t>
        </is>
      </c>
      <c r="B6" s="27" t="n">
        <v>25</v>
      </c>
      <c r="C6" s="14">
        <f>IF(A6="","",SUMIFS('Claude Usage Detail'!$P$5:$P$19,'Claude Usage Detail'!$B$5:$B$19,A6))</f>
        <v/>
      </c>
      <c r="D6" s="30">
        <f>IF(OR(A6="",C6=""),"",C6-N(B6))</f>
        <v/>
      </c>
      <c r="E6" s="29">
        <f>IF(OR(D6="",N(B6)=0),"",C6/B6-1)</f>
        <v/>
      </c>
      <c r="F6" s="25" t="inlineStr">
        <is>
          <t>owner: Delivery Manager (synthetic), 2026-09-28</t>
        </is>
      </c>
    </row>
    <row r="7">
      <c r="A7" s="15" t="inlineStr">
        <is>
          <t>test design</t>
        </is>
      </c>
      <c r="B7" s="27" t="n">
        <v>30</v>
      </c>
      <c r="C7" s="14">
        <f>IF(A7="","",SUMIFS('Claude Usage Detail'!$P$5:$P$19,'Claude Usage Detail'!$B$5:$B$19,A7))</f>
        <v/>
      </c>
      <c r="D7" s="30">
        <f>IF(OR(A7="",C7=""),"",C7-N(B7))</f>
        <v/>
      </c>
      <c r="E7" s="29">
        <f>IF(OR(D7="",N(B7)=0),"",C7/B7-1)</f>
        <v/>
      </c>
      <c r="F7" s="25" t="inlineStr">
        <is>
          <t>owner: Delivery Manager (synthetic), 2026-09-28</t>
        </is>
      </c>
    </row>
    <row r="8">
      <c r="A8" s="15" t="n"/>
      <c r="B8" s="15" t="n"/>
      <c r="C8" s="14">
        <f>IF(A8="","",SUMIFS('Claude Usage Detail'!$P$5:$P$19,'Claude Usage Detail'!$B$5:$B$19,A8))</f>
        <v/>
      </c>
      <c r="D8" s="30">
        <f>IF(OR(A8="",C8=""),"",C8-N(B8))</f>
        <v/>
      </c>
      <c r="E8" s="29">
        <f>IF(OR(D8="",N(B8)=0),"",C8/B8-1)</f>
        <v/>
      </c>
    </row>
    <row r="9">
      <c r="A9" s="15" t="n"/>
      <c r="B9" s="15" t="n"/>
      <c r="C9" s="14">
        <f>IF(A9="","",SUMIFS('Claude Usage Detail'!$P$5:$P$19,'Claude Usage Detail'!$B$5:$B$19,A9))</f>
        <v/>
      </c>
      <c r="D9" s="30">
        <f>IF(OR(A9="",C9=""),"",C9-N(B9))</f>
        <v/>
      </c>
      <c r="E9" s="29">
        <f>IF(OR(D9="",N(B9)=0),"",C9/B9-1)</f>
        <v/>
      </c>
    </row>
    <row r="10">
      <c r="A10" s="15" t="n"/>
      <c r="B10" s="15" t="n"/>
      <c r="C10" s="14">
        <f>IF(A10="","",SUMIFS('Claude Usage Detail'!$P$5:$P$19,'Claude Usage Detail'!$B$5:$B$19,A10))</f>
        <v/>
      </c>
      <c r="D10" s="30">
        <f>IF(OR(A10="",C10=""),"",C10-N(B10))</f>
        <v/>
      </c>
      <c r="E10" s="29">
        <f>IF(OR(D10="",N(B10)=0),"",C10/B10-1)</f>
        <v/>
      </c>
    </row>
    <row r="11">
      <c r="A11" s="16" t="inlineStr">
        <is>
          <t>Total</t>
        </is>
      </c>
      <c r="B11" s="18">
        <f>SUM(B5:B10)</f>
        <v/>
      </c>
      <c r="C11" s="18">
        <f>SUM(C5:C10)</f>
        <v/>
      </c>
      <c r="D11" s="18">
        <f>SUM(D5:D10)</f>
        <v/>
      </c>
      <c r="E11" s="16" t="n"/>
      <c r="F11" s="16" t="n"/>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5" customWidth="1" min="1" max="1"/>
    <col width="30" customWidth="1" min="2" max="2"/>
    <col width="28" customWidth="1" min="3" max="3"/>
    <col width="14" customWidth="1" min="4" max="4"/>
    <col width="14" customWidth="1" min="5" max="5"/>
    <col width="14" customWidth="1" min="6" max="6"/>
    <col width="14" customWidth="1" min="7" max="7"/>
    <col width="14" customWidth="1" min="8" max="8"/>
    <col width="40" customWidth="1" min="9" max="9"/>
    <col width="30" customWidth="1" min="10" max="10"/>
  </cols>
  <sheetData>
    <row r="1">
      <c r="A1" s="1" t="inlineStr">
        <is>
          <t>Revenue</t>
        </is>
      </c>
    </row>
    <row r="2">
      <c r="A2" t="inlineStr">
        <is>
          <t>Revenue the solution earns, per year after go-live, in USD, from the owner or the business case; each stream cites its source. Years past the horizon are ignored. Blue cells are inputs.</t>
        </is>
      </c>
    </row>
    <row r="4">
      <c r="A4" s="3" t="inlineStr">
        <is>
          <t>#</t>
        </is>
      </c>
      <c r="B4" s="3" t="inlineStr">
        <is>
          <t>Stream</t>
        </is>
      </c>
      <c r="C4" s="3" t="inlineStr">
        <is>
          <t>Basis</t>
        </is>
      </c>
      <c r="D4" s="3" t="inlineStr">
        <is>
          <t>Year 1</t>
        </is>
      </c>
      <c r="E4" s="3" t="inlineStr">
        <is>
          <t>Year 2</t>
        </is>
      </c>
      <c r="F4" s="3" t="inlineStr">
        <is>
          <t>Year 3</t>
        </is>
      </c>
      <c r="G4" s="3" t="inlineStr">
        <is>
          <t>Year 4</t>
        </is>
      </c>
      <c r="H4" s="3" t="inlineStr">
        <is>
          <t>Year 5</t>
        </is>
      </c>
      <c r="I4" s="3" t="inlineStr">
        <is>
          <t>Cited from</t>
        </is>
      </c>
      <c r="J4" s="3" t="inlineStr">
        <is>
          <t>Note</t>
        </is>
      </c>
    </row>
    <row r="5">
      <c r="A5" t="n">
        <v>1</v>
      </c>
      <c r="B5" t="inlineStr">
        <is>
          <t>Application processing fees</t>
        </is>
      </c>
      <c r="C5" t="inlineStr">
        <is>
          <t>$10 per application; 30,000 in year 1, +25% a year</t>
        </is>
      </c>
      <c r="D5" s="27" t="n">
        <v>300000</v>
      </c>
      <c r="E5" s="27" t="n">
        <v>375000</v>
      </c>
      <c r="F5" s="27" t="n">
        <v>468750</v>
      </c>
      <c r="G5" s="27" t="n">
        <v>585938</v>
      </c>
      <c r="H5" s="27" t="n">
        <v>732422</v>
      </c>
      <c r="I5" t="inlineStr">
        <is>
          <t>_bmad-output/specs/SPEC.md 7 Business case</t>
        </is>
      </c>
      <c r="J5" t="inlineStr"/>
    </row>
    <row r="6">
      <c r="D6" s="15" t="n"/>
      <c r="E6" s="15" t="n"/>
      <c r="F6" s="15" t="n"/>
      <c r="G6" s="15" t="n"/>
      <c r="H6" s="15" t="n"/>
    </row>
    <row r="7">
      <c r="D7" s="15" t="n"/>
      <c r="E7" s="15" t="n"/>
      <c r="F7" s="15" t="n"/>
      <c r="G7" s="15" t="n"/>
      <c r="H7" s="15" t="n"/>
    </row>
    <row r="8">
      <c r="D8" s="15" t="n"/>
      <c r="E8" s="15" t="n"/>
      <c r="F8" s="15" t="n"/>
      <c r="G8" s="15" t="n"/>
      <c r="H8" s="15" t="n"/>
    </row>
    <row r="9">
      <c r="A9" s="16" t="inlineStr">
        <is>
          <t>Total</t>
        </is>
      </c>
      <c r="B9" s="16" t="n"/>
      <c r="C9" s="16" t="n"/>
      <c r="D9" s="18">
        <f>SUM(D5:D8)</f>
        <v/>
      </c>
      <c r="E9" s="18">
        <f>SUM(E5:E8)</f>
        <v/>
      </c>
      <c r="F9" s="18">
        <f>SUM(F5:F8)</f>
        <v/>
      </c>
      <c r="G9" s="18">
        <f>SUM(G5:G8)</f>
        <v/>
      </c>
      <c r="H9" s="18">
        <f>SUM(H5:H8)</f>
        <v/>
      </c>
      <c r="I9" s="16" t="n"/>
      <c r="J9" s="16" t="n"/>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50" customWidth="1" min="3" max="3"/>
  </cols>
  <sheetData>
    <row r="1">
      <c r="A1" s="1" t="inlineStr">
        <is>
          <t>Employee rate card</t>
        </is>
      </c>
    </row>
    <row r="2">
      <c r="A2" t="inlineStr">
        <is>
          <t>Day rates in USD. Source: Synthetic sample rates, not a real rate card; updated 2026-09-28. Blue cells are inputs; the team and support tables look roles up here.</t>
        </is>
      </c>
    </row>
    <row r="4">
      <c r="A4" s="3" t="inlineStr">
        <is>
          <t>Role</t>
        </is>
      </c>
      <c r="B4" s="3" t="inlineStr">
        <is>
          <t>Day rate (USD)</t>
        </is>
      </c>
      <c r="C4" s="3" t="inlineStr">
        <is>
          <t>Note</t>
        </is>
      </c>
    </row>
    <row r="5">
      <c r="A5" t="inlineStr">
        <is>
          <t>Project Manager</t>
        </is>
      </c>
      <c r="B5" s="27" t="n">
        <v>760</v>
      </c>
      <c r="C5" t="inlineStr"/>
    </row>
    <row r="6">
      <c r="A6" t="inlineStr">
        <is>
          <t>Solution Architect</t>
        </is>
      </c>
      <c r="B6" s="27" t="n">
        <v>950</v>
      </c>
      <c r="C6" t="inlineStr"/>
    </row>
    <row r="7">
      <c r="A7" t="inlineStr">
        <is>
          <t>Tech Lead</t>
        </is>
      </c>
      <c r="B7" s="27" t="n">
        <v>870</v>
      </c>
      <c r="C7" t="inlineStr"/>
    </row>
    <row r="8">
      <c r="A8" t="inlineStr">
        <is>
          <t>Developer</t>
        </is>
      </c>
      <c r="B8" s="27" t="n">
        <v>650</v>
      </c>
      <c r="C8" t="inlineStr"/>
    </row>
    <row r="9">
      <c r="A9" t="inlineStr">
        <is>
          <t>QA Engineer</t>
        </is>
      </c>
      <c r="B9" s="27" t="n">
        <v>545</v>
      </c>
      <c r="C9" t="inlineStr"/>
    </row>
    <row r="10">
      <c r="A10" t="inlineStr">
        <is>
          <t>DevOps Engineer</t>
        </is>
      </c>
      <c r="B10" s="27" t="n">
        <v>710</v>
      </c>
      <c r="C10"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 customWidth="1" min="1" max="1"/>
    <col width="36" customWidth="1" min="2" max="2"/>
    <col width="18" customWidth="1" min="3" max="3"/>
    <col width="44" customWidth="1" min="4" max="4"/>
    <col width="30" customWidth="1" min="5" max="5"/>
    <col width="8" customWidth="1" min="6" max="6"/>
  </cols>
  <sheetData>
    <row r="1">
      <c r="A1" s="1" t="inlineStr">
        <is>
          <t>Other one-off costs</t>
        </is>
      </c>
    </row>
    <row r="2">
      <c r="A2" t="inlineStr">
        <is>
          <t>Licences, tests, training and other one-off costs of the build, outside the environments and the team, in USD.</t>
        </is>
      </c>
    </row>
    <row r="4">
      <c r="A4" s="3" t="inlineStr">
        <is>
          <t>#</t>
        </is>
      </c>
      <c r="B4" s="3" t="inlineStr">
        <is>
          <t>Item</t>
        </is>
      </c>
      <c r="C4" s="3" t="inlineStr">
        <is>
          <t>Amount (USD)</t>
        </is>
      </c>
      <c r="D4" s="3" t="inlineStr">
        <is>
          <t>Cited from</t>
        </is>
      </c>
      <c r="E4" s="3" t="inlineStr">
        <is>
          <t>Note</t>
        </is>
      </c>
      <c r="F4" s="3" t="inlineStr">
        <is>
          <t>Epic</t>
        </is>
      </c>
    </row>
    <row r="5">
      <c r="A5" t="n">
        <v>1</v>
      </c>
      <c r="B5" t="inlineStr">
        <is>
          <t>Penetration test</t>
        </is>
      </c>
      <c r="C5" s="27" t="n">
        <v>12000</v>
      </c>
      <c r="D5" t="inlineStr">
        <is>
          <t>owner: Security Lead, 2026-09-28</t>
        </is>
      </c>
      <c r="E5" t="inlineStr"/>
      <c r="F5" s="7" t="n">
        <v>2</v>
      </c>
    </row>
    <row r="6">
      <c r="A6" t="n">
        <v>2</v>
      </c>
      <c r="B6" t="inlineStr">
        <is>
          <t>GitHub Enterprise seats (12 months)</t>
        </is>
      </c>
      <c r="C6" s="27" t="n">
        <v>8700</v>
      </c>
      <c r="D6" t="inlineStr">
        <is>
          <t>assumption: 7 seats at list price</t>
        </is>
      </c>
      <c r="E6" t="inlineStr"/>
    </row>
    <row r="7">
      <c r="C7" s="15" t="n"/>
      <c r="F7" s="15" t="n"/>
    </row>
    <row r="8">
      <c r="C8" s="15" t="n"/>
      <c r="F8" s="15" t="n"/>
    </row>
    <row r="9">
      <c r="C9" s="15" t="n"/>
      <c r="F9" s="15" t="n"/>
    </row>
    <row r="10">
      <c r="A10" s="16" t="inlineStr">
        <is>
          <t>Total</t>
        </is>
      </c>
      <c r="B10" s="16" t="n"/>
      <c r="C10" s="18">
        <f>SUM(C5:C9)</f>
        <v/>
      </c>
      <c r="D10" s="16" t="n"/>
      <c r="E10" s="16" t="n"/>
      <c r="F10" s="16" t="n"/>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5" customWidth="1" min="1" max="1"/>
    <col width="36" customWidth="1" min="2" max="2"/>
    <col width="18" customWidth="1" min="3" max="3"/>
    <col width="44" customWidth="1" min="4" max="4"/>
    <col width="30" customWidth="1" min="5" max="5"/>
    <col width="8" customWidth="1" min="6" max="6"/>
  </cols>
  <sheetData>
    <row r="1">
      <c r="A1" s="1" t="inlineStr">
        <is>
          <t>Recurring run costs (OPEX)</t>
        </is>
      </c>
    </row>
    <row r="2">
      <c r="A2" t="inlineStr">
        <is>
          <t>Yearly costs of running the solution outside the cloud environments and the support team: support contracts, licences, subscriptions. In USD per year; the Multi-Year sheet escalates them by the yearly increase.</t>
        </is>
      </c>
    </row>
    <row r="4">
      <c r="A4" s="3" t="inlineStr">
        <is>
          <t>#</t>
        </is>
      </c>
      <c r="B4" s="3" t="inlineStr">
        <is>
          <t>Item</t>
        </is>
      </c>
      <c r="C4" s="3" t="inlineStr">
        <is>
          <t>Annual cost (USD)</t>
        </is>
      </c>
      <c r="D4" s="3" t="inlineStr">
        <is>
          <t>Cited from</t>
        </is>
      </c>
      <c r="E4" s="3" t="inlineStr">
        <is>
          <t>Note</t>
        </is>
      </c>
    </row>
    <row r="5">
      <c r="A5" t="n">
        <v>1</v>
      </c>
      <c r="B5" t="inlineStr">
        <is>
          <t>Azure support plan (Standard)</t>
        </is>
      </c>
      <c r="C5" s="27" t="n">
        <v>1200</v>
      </c>
      <c r="D5" t="inlineStr">
        <is>
          <t>assumption: Standard support at list price</t>
        </is>
      </c>
      <c r="E5" t="inlineStr"/>
    </row>
    <row r="6">
      <c r="A6" t="n">
        <v>2</v>
      </c>
      <c r="B6" t="inlineStr">
        <is>
          <t>GitHub Enterprise seats (4 for support)</t>
        </is>
      </c>
      <c r="C6" s="27" t="n">
        <v>1000</v>
      </c>
      <c r="D6" t="inlineStr">
        <is>
          <t>assumption: 4 seats at list price</t>
        </is>
      </c>
      <c r="E6" t="inlineStr"/>
    </row>
    <row r="7">
      <c r="C7" s="15" t="n"/>
    </row>
    <row r="8">
      <c r="C8" s="15" t="n"/>
    </row>
    <row r="9">
      <c r="C9" s="15" t="n"/>
    </row>
    <row r="10">
      <c r="A10" s="16" t="inlineStr">
        <is>
          <t>Total</t>
        </is>
      </c>
      <c r="B10" s="16" t="n"/>
      <c r="C10" s="18">
        <f>SUM(C5:C9)</f>
        <v/>
      </c>
      <c r="D10" s="16" t="n"/>
      <c r="E10" s="16" t="n"/>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13"/>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Dev environment</t>
        </is>
      </c>
    </row>
    <row r="2">
      <c r="A2" t="inlineStr">
        <is>
          <t>Azure retail list prices (pay-as-you-go) in uaenorth, USD, fetched 2026-09-28.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AKS nodes</t>
        </is>
      </c>
      <c r="C5" t="inlineStr">
        <is>
          <t>Virtual Machines</t>
        </is>
      </c>
      <c r="D5" t="inlineStr">
        <is>
          <t>Standard_D4s_v5</t>
        </is>
      </c>
      <c r="E5" t="inlineStr">
        <is>
          <t>1 Hour</t>
        </is>
      </c>
      <c r="F5" s="35" t="n">
        <v>0.235</v>
      </c>
      <c r="G5" s="4" t="n">
        <v>2</v>
      </c>
      <c r="H5" s="4" t="n">
        <v>220</v>
      </c>
      <c r="I5" s="14">
        <f>F5*G5*H5*FxRate</f>
        <v/>
      </c>
      <c r="J5" s="14">
        <f>I5*12/365</f>
        <v/>
      </c>
      <c r="K5" s="14">
        <f>I5*12</f>
        <v/>
      </c>
      <c r="L5" s="25" t="inlineStr">
        <is>
          <t>_bmad-output/planning-artifacts/architecture/falcon/ARCHITECTURE-SPINE.md AD-1</t>
        </is>
      </c>
      <c r="M5" s="25" t="inlineStr">
        <is>
          <t>Azure Retail Prices API, Virtual Machines Dsv5 Series / D4s v5, uaenorth, USD per 1 Hour, meterId 75a8da05-74dd-5b32-bb86-4f5cc74cdb60, fetched 2026-09-28</t>
        </is>
      </c>
      <c r="N5" s="25" t="inlineStr">
        <is>
          <t>Dev nodes stopped outside working hours</t>
        </is>
      </c>
      <c r="O5" t="inlineStr">
        <is>
          <t>Dev</t>
        </is>
      </c>
    </row>
    <row r="6">
      <c r="A6" t="n">
        <v>2</v>
      </c>
      <c r="B6" t="inlineStr">
        <is>
          <t>Customer database</t>
        </is>
      </c>
      <c r="C6" t="inlineStr">
        <is>
          <t>SQL Database</t>
        </is>
      </c>
      <c r="D6" t="inlineStr">
        <is>
          <t>General Purpose Gen5, 2 vCore</t>
        </is>
      </c>
      <c r="E6" t="inlineStr">
        <is>
          <t>1 vCore Hour</t>
        </is>
      </c>
      <c r="F6" s="35" t="n">
        <v>0.253</v>
      </c>
      <c r="G6" s="4" t="n">
        <v>2</v>
      </c>
      <c r="H6" s="13">
        <f>HoursPerMonth</f>
        <v/>
      </c>
      <c r="I6" s="14">
        <f>F6*G6*H6*FxRate</f>
        <v/>
      </c>
      <c r="J6" s="14">
        <f>I6*12/365</f>
        <v/>
      </c>
      <c r="K6" s="14">
        <f>I6*12</f>
        <v/>
      </c>
      <c r="L6" s="25" t="inlineStr">
        <is>
          <t>_bmad-output/planning-artifacts/architecture/falcon/ARCHITECTURE-SPINE.md AD-2</t>
        </is>
      </c>
      <c r="M6" s="25" t="inlineStr">
        <is>
          <t>Synthetic sample price (not looked up)</t>
        </is>
      </c>
      <c r="N6" s="25" t="inlineStr"/>
      <c r="O6" t="inlineStr">
        <is>
          <t>Dev</t>
        </is>
      </c>
    </row>
    <row r="7">
      <c r="A7" t="n">
        <v>3</v>
      </c>
      <c r="B7" t="inlineStr">
        <is>
          <t>Document storage</t>
        </is>
      </c>
      <c r="C7" t="inlineStr">
        <is>
          <t>Storage</t>
        </is>
      </c>
      <c r="D7" t="inlineStr">
        <is>
          <t>Blob Hot LRS</t>
        </is>
      </c>
      <c r="E7" t="inlineStr">
        <is>
          <t>1 GB/Month</t>
        </is>
      </c>
      <c r="F7" s="35" t="n">
        <v>0.019</v>
      </c>
      <c r="G7" s="4" t="n">
        <v>50</v>
      </c>
      <c r="H7" s="4" t="n">
        <v>1</v>
      </c>
      <c r="I7" s="14">
        <f>F7*G7*H7*FxRate</f>
        <v/>
      </c>
      <c r="J7" s="14">
        <f>I7*12/365</f>
        <v/>
      </c>
      <c r="K7" s="14">
        <f>I7*12</f>
        <v/>
      </c>
      <c r="L7" s="25" t="inlineStr">
        <is>
          <t>assumption: 50 GB of test documents</t>
        </is>
      </c>
      <c r="M7" s="25" t="inlineStr">
        <is>
          <t>Synthetic sample price (not looked up)</t>
        </is>
      </c>
      <c r="N7" s="25" t="inlineStr"/>
      <c r="O7" t="inlineStr">
        <is>
          <t>Dev</t>
        </is>
      </c>
    </row>
    <row r="8">
      <c r="A8" t="n">
        <v>4</v>
      </c>
      <c r="B8" t="inlineStr">
        <is>
          <t>Secrets</t>
        </is>
      </c>
      <c r="C8" t="inlineStr">
        <is>
          <t>Key Vault</t>
        </is>
      </c>
      <c r="D8" t="inlineStr">
        <is>
          <t>Standard</t>
        </is>
      </c>
      <c r="E8" t="inlineStr">
        <is>
          <t>10K operations</t>
        </is>
      </c>
      <c r="F8" s="35" t="n">
        <v>0.03</v>
      </c>
      <c r="G8" s="4" t="n">
        <v>30</v>
      </c>
      <c r="H8" s="4" t="n">
        <v>1</v>
      </c>
      <c r="I8" s="14">
        <f>F8*G8*H8*FxRate</f>
        <v/>
      </c>
      <c r="J8" s="14">
        <f>I8*12/365</f>
        <v/>
      </c>
      <c r="K8" s="14">
        <f>I8*12</f>
        <v/>
      </c>
      <c r="L8" s="25" t="inlineStr">
        <is>
          <t>_bmad-output/planning-artifacts/architecture/falcon/ARCHITECTURE-SPINE.md AD-5</t>
        </is>
      </c>
      <c r="M8" s="25" t="inlineStr">
        <is>
          <t>Synthetic sample price (not looked up)</t>
        </is>
      </c>
      <c r="N8" s="25" t="inlineStr"/>
      <c r="O8" t="inlineStr">
        <is>
          <t>Dev</t>
        </is>
      </c>
    </row>
    <row r="9">
      <c r="A9" t="n">
        <v>5</v>
      </c>
      <c r="B9" t="inlineStr">
        <is>
          <t>Logs and metrics</t>
        </is>
      </c>
      <c r="C9" t="inlineStr">
        <is>
          <t>Log Analytics</t>
        </is>
      </c>
      <c r="D9" t="inlineStr">
        <is>
          <t>Pay-as-you-go</t>
        </is>
      </c>
      <c r="E9" t="inlineStr">
        <is>
          <t>1 GB</t>
        </is>
      </c>
      <c r="F9" s="35" t="n">
        <v>2.76</v>
      </c>
      <c r="G9" s="4" t="n">
        <v>5</v>
      </c>
      <c r="H9" s="4" t="n">
        <v>1</v>
      </c>
      <c r="I9" s="14">
        <f>F9*G9*H9*FxRate</f>
        <v/>
      </c>
      <c r="J9" s="14">
        <f>I9*12/365</f>
        <v/>
      </c>
      <c r="K9" s="14">
        <f>I9*12</f>
        <v/>
      </c>
      <c r="L9" s="25" t="inlineStr">
        <is>
          <t>_bmad-output/planning-artifacts/architecture/falcon/ARCHITECTURE-SPINE.md AD-5</t>
        </is>
      </c>
      <c r="M9" s="25" t="inlineStr">
        <is>
          <t>Synthetic sample price (not looked up)</t>
        </is>
      </c>
      <c r="N9" s="25" t="inlineStr"/>
      <c r="O9" t="inlineStr">
        <is>
          <t>Dev</t>
        </is>
      </c>
    </row>
    <row r="10">
      <c r="F10" s="15" t="n"/>
      <c r="G10" s="15" t="n"/>
      <c r="H10" s="15" t="n"/>
      <c r="I10" s="14">
        <f>IF(F10="","",F10*G10*H10*FxRate)</f>
        <v/>
      </c>
      <c r="J10" s="14">
        <f>IF(I10="","",I10*12/365)</f>
        <v/>
      </c>
      <c r="K10" s="14">
        <f>IF(I10="","",I10*12)</f>
        <v/>
      </c>
      <c r="O10" t="inlineStr">
        <is>
          <t>Dev</t>
        </is>
      </c>
    </row>
    <row r="11">
      <c r="F11" s="15" t="n"/>
      <c r="G11" s="15" t="n"/>
      <c r="H11" s="15" t="n"/>
      <c r="I11" s="14">
        <f>IF(F11="","",F11*G11*H11*FxRate)</f>
        <v/>
      </c>
      <c r="J11" s="14">
        <f>IF(I11="","",I11*12/365)</f>
        <v/>
      </c>
      <c r="K11" s="14">
        <f>IF(I11="","",I11*12)</f>
        <v/>
      </c>
      <c r="O11" t="inlineStr">
        <is>
          <t>Dev</t>
        </is>
      </c>
    </row>
    <row r="12">
      <c r="F12" s="15" t="n"/>
      <c r="G12" s="15" t="n"/>
      <c r="H12" s="15" t="n"/>
      <c r="I12" s="14">
        <f>IF(F12="","",F12*G12*H12*FxRate)</f>
        <v/>
      </c>
      <c r="J12" s="14">
        <f>IF(I12="","",I12*12/365)</f>
        <v/>
      </c>
      <c r="K12" s="14">
        <f>IF(I12="","",I12*12)</f>
        <v/>
      </c>
      <c r="O12" t="inlineStr">
        <is>
          <t>Dev</t>
        </is>
      </c>
    </row>
    <row r="13">
      <c r="A13" s="16" t="inlineStr">
        <is>
          <t>Total</t>
        </is>
      </c>
      <c r="B13" s="16" t="n"/>
      <c r="C13" s="16" t="n"/>
      <c r="D13" s="16" t="n"/>
      <c r="E13" s="16" t="n"/>
      <c r="F13" s="16" t="n"/>
      <c r="G13" s="16" t="n"/>
      <c r="H13" s="16" t="n"/>
      <c r="I13" s="18">
        <f>SUM(I5:I12)</f>
        <v/>
      </c>
      <c r="J13" s="18">
        <f>SUM(J5:J12)</f>
        <v/>
      </c>
      <c r="K13" s="18">
        <f>SUM(K5:K12)</f>
        <v/>
      </c>
      <c r="L13" s="16" t="n"/>
      <c r="M13" s="16" t="n"/>
      <c r="N13" s="16" t="n"/>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O14"/>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Test environment</t>
        </is>
      </c>
    </row>
    <row r="2">
      <c r="A2" t="inlineStr">
        <is>
          <t>Azure retail list prices (pay-as-you-go) in uaenorth, USD, fetched 2026-09-28.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AKS nodes</t>
        </is>
      </c>
      <c r="C5" t="inlineStr">
        <is>
          <t>Virtual Machines</t>
        </is>
      </c>
      <c r="D5" t="inlineStr">
        <is>
          <t>Standard_D4s_v5</t>
        </is>
      </c>
      <c r="E5" t="inlineStr">
        <is>
          <t>1 Hour</t>
        </is>
      </c>
      <c r="F5" s="35" t="n">
        <v>0.235</v>
      </c>
      <c r="G5" s="4" t="n">
        <v>2</v>
      </c>
      <c r="H5" s="13">
        <f>HoursPerMonth</f>
        <v/>
      </c>
      <c r="I5" s="14">
        <f>F5*G5*H5*FxRate</f>
        <v/>
      </c>
      <c r="J5" s="14">
        <f>I5*12/365</f>
        <v/>
      </c>
      <c r="K5" s="14">
        <f>I5*12</f>
        <v/>
      </c>
      <c r="L5" s="25" t="inlineStr">
        <is>
          <t>_bmad-output/planning-artifacts/architecture/falcon/ARCHITECTURE-SPINE.md AD-1</t>
        </is>
      </c>
      <c r="M5" s="25" t="inlineStr">
        <is>
          <t>Azure Retail Prices API, Virtual Machines Dsv5 Series / D4s v5, uaenorth, USD per 1 Hour, meterId 75a8da05-74dd-5b32-bb86-4f5cc74cdb60, fetched 2026-09-28</t>
        </is>
      </c>
      <c r="N5" s="25" t="inlineStr"/>
      <c r="O5" t="inlineStr">
        <is>
          <t>Test</t>
        </is>
      </c>
    </row>
    <row r="6">
      <c r="A6" t="n">
        <v>2</v>
      </c>
      <c r="B6" t="inlineStr">
        <is>
          <t>Customer database</t>
        </is>
      </c>
      <c r="C6" t="inlineStr">
        <is>
          <t>SQL Database</t>
        </is>
      </c>
      <c r="D6" t="inlineStr">
        <is>
          <t>General Purpose Gen5, 2 vCore</t>
        </is>
      </c>
      <c r="E6" t="inlineStr">
        <is>
          <t>1 vCore Hour</t>
        </is>
      </c>
      <c r="F6" s="35" t="n">
        <v>0.253</v>
      </c>
      <c r="G6" s="4" t="n">
        <v>2</v>
      </c>
      <c r="H6" s="13">
        <f>HoursPerMonth</f>
        <v/>
      </c>
      <c r="I6" s="14">
        <f>F6*G6*H6*FxRate</f>
        <v/>
      </c>
      <c r="J6" s="14">
        <f>I6*12/365</f>
        <v/>
      </c>
      <c r="K6" s="14">
        <f>I6*12</f>
        <v/>
      </c>
      <c r="L6" s="25" t="inlineStr">
        <is>
          <t>_bmad-output/planning-artifacts/architecture/falcon/ARCHITECTURE-SPINE.md AD-2</t>
        </is>
      </c>
      <c r="M6" s="25" t="inlineStr">
        <is>
          <t>Synthetic sample price (not looked up)</t>
        </is>
      </c>
      <c r="N6" s="25" t="inlineStr"/>
      <c r="O6" t="inlineStr">
        <is>
          <t>Test</t>
        </is>
      </c>
    </row>
    <row r="7">
      <c r="A7" t="n">
        <v>3</v>
      </c>
      <c r="B7" t="inlineStr">
        <is>
          <t>Document storage</t>
        </is>
      </c>
      <c r="C7" t="inlineStr">
        <is>
          <t>Storage</t>
        </is>
      </c>
      <c r="D7" t="inlineStr">
        <is>
          <t>Blob Hot LRS</t>
        </is>
      </c>
      <c r="E7" t="inlineStr">
        <is>
          <t>1 GB/Month</t>
        </is>
      </c>
      <c r="F7" s="35" t="n">
        <v>0.019</v>
      </c>
      <c r="G7" s="4" t="n">
        <v>50</v>
      </c>
      <c r="H7" s="4" t="n">
        <v>1</v>
      </c>
      <c r="I7" s="14">
        <f>F7*G7*H7*FxRate</f>
        <v/>
      </c>
      <c r="J7" s="14">
        <f>I7*12/365</f>
        <v/>
      </c>
      <c r="K7" s="14">
        <f>I7*12</f>
        <v/>
      </c>
      <c r="L7" s="25" t="inlineStr">
        <is>
          <t>assumption: 50 GB of test documents</t>
        </is>
      </c>
      <c r="M7" s="25" t="inlineStr">
        <is>
          <t>Synthetic sample price (not looked up)</t>
        </is>
      </c>
      <c r="N7" s="25" t="inlineStr"/>
      <c r="O7" t="inlineStr">
        <is>
          <t>Test</t>
        </is>
      </c>
    </row>
    <row r="8">
      <c r="A8" t="n">
        <v>4</v>
      </c>
      <c r="B8" t="inlineStr">
        <is>
          <t>Secrets</t>
        </is>
      </c>
      <c r="C8" t="inlineStr">
        <is>
          <t>Key Vault</t>
        </is>
      </c>
      <c r="D8" t="inlineStr">
        <is>
          <t>Standard</t>
        </is>
      </c>
      <c r="E8" t="inlineStr">
        <is>
          <t>10K operations</t>
        </is>
      </c>
      <c r="F8" s="35" t="n">
        <v>0.03</v>
      </c>
      <c r="G8" s="4" t="n">
        <v>30</v>
      </c>
      <c r="H8" s="4" t="n">
        <v>1</v>
      </c>
      <c r="I8" s="14">
        <f>F8*G8*H8*FxRate</f>
        <v/>
      </c>
      <c r="J8" s="14">
        <f>I8*12/365</f>
        <v/>
      </c>
      <c r="K8" s="14">
        <f>I8*12</f>
        <v/>
      </c>
      <c r="L8" s="25" t="inlineStr">
        <is>
          <t>_bmad-output/planning-artifacts/architecture/falcon/ARCHITECTURE-SPINE.md AD-5</t>
        </is>
      </c>
      <c r="M8" s="25" t="inlineStr">
        <is>
          <t>Synthetic sample price (not looked up)</t>
        </is>
      </c>
      <c r="N8" s="25" t="inlineStr"/>
      <c r="O8" t="inlineStr">
        <is>
          <t>Test</t>
        </is>
      </c>
    </row>
    <row r="9">
      <c r="A9" t="n">
        <v>5</v>
      </c>
      <c r="B9" t="inlineStr">
        <is>
          <t>Logs and metrics</t>
        </is>
      </c>
      <c r="C9" t="inlineStr">
        <is>
          <t>Log Analytics</t>
        </is>
      </c>
      <c r="D9" t="inlineStr">
        <is>
          <t>Pay-as-you-go</t>
        </is>
      </c>
      <c r="E9" t="inlineStr">
        <is>
          <t>1 GB</t>
        </is>
      </c>
      <c r="F9" s="35" t="n">
        <v>2.76</v>
      </c>
      <c r="G9" s="4" t="n">
        <v>5</v>
      </c>
      <c r="H9" s="4" t="n">
        <v>1</v>
      </c>
      <c r="I9" s="14">
        <f>F9*G9*H9*FxRate</f>
        <v/>
      </c>
      <c r="J9" s="14">
        <f>I9*12/365</f>
        <v/>
      </c>
      <c r="K9" s="14">
        <f>I9*12</f>
        <v/>
      </c>
      <c r="L9" s="25" t="inlineStr">
        <is>
          <t>_bmad-output/planning-artifacts/architecture/falcon/ARCHITECTURE-SPINE.md AD-5</t>
        </is>
      </c>
      <c r="M9" s="25" t="inlineStr">
        <is>
          <t>Synthetic sample price (not looked up)</t>
        </is>
      </c>
      <c r="N9" s="25" t="inlineStr"/>
      <c r="O9" t="inlineStr">
        <is>
          <t>Test</t>
        </is>
      </c>
    </row>
    <row r="10">
      <c r="A10" t="n">
        <v>6</v>
      </c>
      <c r="B10" t="inlineStr">
        <is>
          <t>Edge</t>
        </is>
      </c>
      <c r="C10" t="inlineStr">
        <is>
          <t>Azure Front Door Service</t>
        </is>
      </c>
      <c r="D10" t="inlineStr">
        <is>
          <t>Standard base fee</t>
        </is>
      </c>
      <c r="E10" t="inlineStr">
        <is>
          <t>1 Month</t>
        </is>
      </c>
      <c r="F10" s="35" t="n">
        <v>35</v>
      </c>
      <c r="G10" s="4" t="n">
        <v>1</v>
      </c>
      <c r="H10" s="4" t="n">
        <v>1</v>
      </c>
      <c r="I10" s="14">
        <f>F10*G10*H10*FxRate</f>
        <v/>
      </c>
      <c r="J10" s="14">
        <f>I10*12/365</f>
        <v/>
      </c>
      <c r="K10" s="14">
        <f>I10*12</f>
        <v/>
      </c>
      <c r="L10" s="25" t="inlineStr">
        <is>
          <t>_bmad-output/planning-artifacts/architecture/falcon/ARCHITECTURE-SPINE.md AD-4</t>
        </is>
      </c>
      <c r="M10" s="25" t="inlineStr">
        <is>
          <t>Synthetic sample price (not looked up)</t>
        </is>
      </c>
      <c r="N10" s="25" t="inlineStr"/>
      <c r="O10" t="inlineStr">
        <is>
          <t>Test</t>
        </is>
      </c>
    </row>
    <row r="11">
      <c r="F11" s="15" t="n"/>
      <c r="G11" s="15" t="n"/>
      <c r="H11" s="15" t="n"/>
      <c r="I11" s="14">
        <f>IF(F11="","",F11*G11*H11*FxRate)</f>
        <v/>
      </c>
      <c r="J11" s="14">
        <f>IF(I11="","",I11*12/365)</f>
        <v/>
      </c>
      <c r="K11" s="14">
        <f>IF(I11="","",I11*12)</f>
        <v/>
      </c>
      <c r="O11" t="inlineStr">
        <is>
          <t>Test</t>
        </is>
      </c>
    </row>
    <row r="12">
      <c r="F12" s="15" t="n"/>
      <c r="G12" s="15" t="n"/>
      <c r="H12" s="15" t="n"/>
      <c r="I12" s="14">
        <f>IF(F12="","",F12*G12*H12*FxRate)</f>
        <v/>
      </c>
      <c r="J12" s="14">
        <f>IF(I12="","",I12*12/365)</f>
        <v/>
      </c>
      <c r="K12" s="14">
        <f>IF(I12="","",I12*12)</f>
        <v/>
      </c>
      <c r="O12" t="inlineStr">
        <is>
          <t>Test</t>
        </is>
      </c>
    </row>
    <row r="13">
      <c r="F13" s="15" t="n"/>
      <c r="G13" s="15" t="n"/>
      <c r="H13" s="15" t="n"/>
      <c r="I13" s="14">
        <f>IF(F13="","",F13*G13*H13*FxRate)</f>
        <v/>
      </c>
      <c r="J13" s="14">
        <f>IF(I13="","",I13*12/365)</f>
        <v/>
      </c>
      <c r="K13" s="14">
        <f>IF(I13="","",I13*12)</f>
        <v/>
      </c>
      <c r="O13" t="inlineStr">
        <is>
          <t>Test</t>
        </is>
      </c>
    </row>
    <row r="14">
      <c r="A14" s="16" t="inlineStr">
        <is>
          <t>Total</t>
        </is>
      </c>
      <c r="B14" s="16" t="n"/>
      <c r="C14" s="16" t="n"/>
      <c r="D14" s="16" t="n"/>
      <c r="E14" s="16" t="n"/>
      <c r="F14" s="16" t="n"/>
      <c r="G14" s="16" t="n"/>
      <c r="H14" s="16" t="n"/>
      <c r="I14" s="18">
        <f>SUM(I5:I13)</f>
        <v/>
      </c>
      <c r="J14" s="18">
        <f>SUM(J5:J13)</f>
        <v/>
      </c>
      <c r="K14" s="18">
        <f>SUM(K5:K13)</f>
        <v/>
      </c>
      <c r="L14" s="16" t="n"/>
      <c r="M14" s="16" t="n"/>
      <c r="N14" s="16" t="n"/>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O14"/>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Prod environment</t>
        </is>
      </c>
    </row>
    <row r="2">
      <c r="A2" t="inlineStr">
        <is>
          <t>Azure retail list prices (pay-as-you-go) in uaenorth, USD, fetched 2026-09-28.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AKS nodes</t>
        </is>
      </c>
      <c r="C5" t="inlineStr">
        <is>
          <t>Virtual Machines</t>
        </is>
      </c>
      <c r="D5" t="inlineStr">
        <is>
          <t>Standard_D4s_v5</t>
        </is>
      </c>
      <c r="E5" t="inlineStr">
        <is>
          <t>1 Hour</t>
        </is>
      </c>
      <c r="F5" s="35" t="n">
        <v>0.235</v>
      </c>
      <c r="G5" s="4" t="n">
        <v>3</v>
      </c>
      <c r="H5" s="13">
        <f>HoursPerMonth</f>
        <v/>
      </c>
      <c r="I5" s="14">
        <f>F5*G5*H5*FxRate</f>
        <v/>
      </c>
      <c r="J5" s="14">
        <f>I5*12/365</f>
        <v/>
      </c>
      <c r="K5" s="14">
        <f>I5*12</f>
        <v/>
      </c>
      <c r="L5" s="25" t="inlineStr">
        <is>
          <t>_bmad-output/planning-artifacts/architecture/falcon/ARCHITECTURE-SPINE.md AD-1</t>
        </is>
      </c>
      <c r="M5" s="25" t="inlineStr">
        <is>
          <t>Azure Retail Prices API, Virtual Machines Dsv5 Series / D4s v5, uaenorth, USD per 1 Hour, meterId 75a8da05-74dd-5b32-bb86-4f5cc74cdb60, fetched 2026-09-28</t>
        </is>
      </c>
      <c r="N5" s="25" t="inlineStr"/>
      <c r="O5" t="inlineStr">
        <is>
          <t>Prod</t>
        </is>
      </c>
    </row>
    <row r="6">
      <c r="A6" t="n">
        <v>2</v>
      </c>
      <c r="B6" t="inlineStr">
        <is>
          <t>Customer database</t>
        </is>
      </c>
      <c r="C6" t="inlineStr">
        <is>
          <t>SQL Database</t>
        </is>
      </c>
      <c r="D6" t="inlineStr">
        <is>
          <t>General Purpose Gen5, 4 vCore</t>
        </is>
      </c>
      <c r="E6" t="inlineStr">
        <is>
          <t>1 vCore Hour</t>
        </is>
      </c>
      <c r="F6" s="35" t="n">
        <v>0.253</v>
      </c>
      <c r="G6" s="4" t="n">
        <v>4</v>
      </c>
      <c r="H6" s="13">
        <f>HoursPerMonth</f>
        <v/>
      </c>
      <c r="I6" s="14">
        <f>F6*G6*H6*FxRate</f>
        <v/>
      </c>
      <c r="J6" s="14">
        <f>I6*12/365</f>
        <v/>
      </c>
      <c r="K6" s="14">
        <f>I6*12</f>
        <v/>
      </c>
      <c r="L6" s="25" t="inlineStr">
        <is>
          <t>_bmad-output/planning-artifacts/architecture/falcon/ARCHITECTURE-SPINE.md AD-2</t>
        </is>
      </c>
      <c r="M6" s="25" t="inlineStr">
        <is>
          <t>Synthetic sample price (not looked up)</t>
        </is>
      </c>
      <c r="N6" s="25" t="inlineStr"/>
      <c r="O6" t="inlineStr">
        <is>
          <t>Prod</t>
        </is>
      </c>
    </row>
    <row r="7">
      <c r="A7" t="n">
        <v>3</v>
      </c>
      <c r="B7" t="inlineStr">
        <is>
          <t>Document storage</t>
        </is>
      </c>
      <c r="C7" t="inlineStr">
        <is>
          <t>Storage</t>
        </is>
      </c>
      <c r="D7" t="inlineStr">
        <is>
          <t>Blob Hot LRS</t>
        </is>
      </c>
      <c r="E7" t="inlineStr">
        <is>
          <t>1 GB/Month</t>
        </is>
      </c>
      <c r="F7" s="35" t="n">
        <v>0.019</v>
      </c>
      <c r="G7" s="4" t="n">
        <v>500</v>
      </c>
      <c r="H7" s="4" t="n">
        <v>1</v>
      </c>
      <c r="I7" s="14">
        <f>F7*G7*H7*FxRate</f>
        <v/>
      </c>
      <c r="J7" s="14">
        <f>I7*12/365</f>
        <v/>
      </c>
      <c r="K7" s="14">
        <f>I7*12</f>
        <v/>
      </c>
      <c r="L7" s="25" t="inlineStr">
        <is>
          <t>_bmad-output/planning-artifacts/architecture/falcon/ARCHITECTURE-SPINE.md AD-3</t>
        </is>
      </c>
      <c r="M7" s="25" t="inlineStr">
        <is>
          <t>Synthetic sample price (not looked up)</t>
        </is>
      </c>
      <c r="N7" s="25" t="inlineStr"/>
      <c r="O7" t="inlineStr">
        <is>
          <t>Prod</t>
        </is>
      </c>
    </row>
    <row r="8">
      <c r="A8" t="n">
        <v>4</v>
      </c>
      <c r="B8" t="inlineStr">
        <is>
          <t>Secrets</t>
        </is>
      </c>
      <c r="C8" t="inlineStr">
        <is>
          <t>Key Vault</t>
        </is>
      </c>
      <c r="D8" t="inlineStr">
        <is>
          <t>Standard</t>
        </is>
      </c>
      <c r="E8" t="inlineStr">
        <is>
          <t>10K operations</t>
        </is>
      </c>
      <c r="F8" s="35" t="n">
        <v>0.03</v>
      </c>
      <c r="G8" s="4" t="n">
        <v>30</v>
      </c>
      <c r="H8" s="4" t="n">
        <v>1</v>
      </c>
      <c r="I8" s="14">
        <f>F8*G8*H8*FxRate</f>
        <v/>
      </c>
      <c r="J8" s="14">
        <f>I8*12/365</f>
        <v/>
      </c>
      <c r="K8" s="14">
        <f>I8*12</f>
        <v/>
      </c>
      <c r="L8" s="25" t="inlineStr">
        <is>
          <t>_bmad-output/planning-artifacts/architecture/falcon/ARCHITECTURE-SPINE.md AD-5</t>
        </is>
      </c>
      <c r="M8" s="25" t="inlineStr">
        <is>
          <t>Synthetic sample price (not looked up)</t>
        </is>
      </c>
      <c r="N8" s="25" t="inlineStr"/>
      <c r="O8" t="inlineStr">
        <is>
          <t>Prod</t>
        </is>
      </c>
    </row>
    <row r="9">
      <c r="A9" t="n">
        <v>5</v>
      </c>
      <c r="B9" t="inlineStr">
        <is>
          <t>Logs and metrics</t>
        </is>
      </c>
      <c r="C9" t="inlineStr">
        <is>
          <t>Log Analytics</t>
        </is>
      </c>
      <c r="D9" t="inlineStr">
        <is>
          <t>Pay-as-you-go</t>
        </is>
      </c>
      <c r="E9" t="inlineStr">
        <is>
          <t>1 GB</t>
        </is>
      </c>
      <c r="F9" s="35" t="n">
        <v>2.76</v>
      </c>
      <c r="G9" s="4" t="n">
        <v>30</v>
      </c>
      <c r="H9" s="4" t="n">
        <v>1</v>
      </c>
      <c r="I9" s="14">
        <f>F9*G9*H9*FxRate</f>
        <v/>
      </c>
      <c r="J9" s="14">
        <f>I9*12/365</f>
        <v/>
      </c>
      <c r="K9" s="14">
        <f>I9*12</f>
        <v/>
      </c>
      <c r="L9" s="25" t="inlineStr">
        <is>
          <t>_bmad-output/planning-artifacts/architecture/falcon/ARCHITECTURE-SPINE.md AD-5</t>
        </is>
      </c>
      <c r="M9" s="25" t="inlineStr">
        <is>
          <t>Synthetic sample price (not looked up)</t>
        </is>
      </c>
      <c r="N9" s="25" t="inlineStr"/>
      <c r="O9" t="inlineStr">
        <is>
          <t>Prod</t>
        </is>
      </c>
    </row>
    <row r="10">
      <c r="A10" t="n">
        <v>6</v>
      </c>
      <c r="B10" t="inlineStr">
        <is>
          <t>Edge</t>
        </is>
      </c>
      <c r="C10" t="inlineStr">
        <is>
          <t>Azure Front Door Service</t>
        </is>
      </c>
      <c r="D10" t="inlineStr">
        <is>
          <t>Standard base fee</t>
        </is>
      </c>
      <c r="E10" t="inlineStr">
        <is>
          <t>1 Month</t>
        </is>
      </c>
      <c r="F10" s="35" t="n">
        <v>35</v>
      </c>
      <c r="G10" s="4" t="n">
        <v>1</v>
      </c>
      <c r="H10" s="4" t="n">
        <v>1</v>
      </c>
      <c r="I10" s="14">
        <f>F10*G10*H10*FxRate</f>
        <v/>
      </c>
      <c r="J10" s="14">
        <f>I10*12/365</f>
        <v/>
      </c>
      <c r="K10" s="14">
        <f>I10*12</f>
        <v/>
      </c>
      <c r="L10" s="25" t="inlineStr">
        <is>
          <t>_bmad-output/planning-artifacts/architecture/falcon/ARCHITECTURE-SPINE.md AD-4</t>
        </is>
      </c>
      <c r="M10" s="25" t="inlineStr">
        <is>
          <t>Synthetic sample price (not looked up)</t>
        </is>
      </c>
      <c r="N10" s="25" t="inlineStr"/>
      <c r="O10" t="inlineStr">
        <is>
          <t>Prod</t>
        </is>
      </c>
    </row>
    <row r="11">
      <c r="F11" s="15" t="n"/>
      <c r="G11" s="15" t="n"/>
      <c r="H11" s="15" t="n"/>
      <c r="I11" s="14">
        <f>IF(F11="","",F11*G11*H11*FxRate)</f>
        <v/>
      </c>
      <c r="J11" s="14">
        <f>IF(I11="","",I11*12/365)</f>
        <v/>
      </c>
      <c r="K11" s="14">
        <f>IF(I11="","",I11*12)</f>
        <v/>
      </c>
      <c r="O11" t="inlineStr">
        <is>
          <t>Prod</t>
        </is>
      </c>
    </row>
    <row r="12">
      <c r="F12" s="15" t="n"/>
      <c r="G12" s="15" t="n"/>
      <c r="H12" s="15" t="n"/>
      <c r="I12" s="14">
        <f>IF(F12="","",F12*G12*H12*FxRate)</f>
        <v/>
      </c>
      <c r="J12" s="14">
        <f>IF(I12="","",I12*12/365)</f>
        <v/>
      </c>
      <c r="K12" s="14">
        <f>IF(I12="","",I12*12)</f>
        <v/>
      </c>
      <c r="O12" t="inlineStr">
        <is>
          <t>Prod</t>
        </is>
      </c>
    </row>
    <row r="13">
      <c r="F13" s="15" t="n"/>
      <c r="G13" s="15" t="n"/>
      <c r="H13" s="15" t="n"/>
      <c r="I13" s="14">
        <f>IF(F13="","",F13*G13*H13*FxRate)</f>
        <v/>
      </c>
      <c r="J13" s="14">
        <f>IF(I13="","",I13*12/365)</f>
        <v/>
      </c>
      <c r="K13" s="14">
        <f>IF(I13="","",I13*12)</f>
        <v/>
      </c>
      <c r="O13" t="inlineStr">
        <is>
          <t>Prod</t>
        </is>
      </c>
    </row>
    <row r="14">
      <c r="A14" s="16" t="inlineStr">
        <is>
          <t>Total</t>
        </is>
      </c>
      <c r="B14" s="16" t="n"/>
      <c r="C14" s="16" t="n"/>
      <c r="D14" s="16" t="n"/>
      <c r="E14" s="16" t="n"/>
      <c r="F14" s="16" t="n"/>
      <c r="G14" s="16" t="n"/>
      <c r="H14" s="16" t="n"/>
      <c r="I14" s="18">
        <f>SUM(I5:I13)</f>
        <v/>
      </c>
      <c r="J14" s="18">
        <f>SUM(J5:J13)</f>
        <v/>
      </c>
      <c r="K14" s="18">
        <f>SUM(K5:K13)</f>
        <v/>
      </c>
      <c r="L14" s="16" t="n"/>
      <c r="M14" s="16" t="n"/>
      <c r="N14" s="16" t="n"/>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24" customWidth="1" min="1" max="1"/>
    <col width="22" customWidth="1" min="2" max="2"/>
    <col width="12" customWidth="1" min="3" max="3"/>
    <col width="14" customWidth="1" min="4" max="4"/>
    <col width="14" customWidth="1" min="5" max="5"/>
    <col width="12" customWidth="1" min="6" max="6"/>
    <col width="12" customWidth="1" min="7" max="7"/>
  </cols>
  <sheetData>
    <row r="1">
      <c r="A1" s="1" t="inlineStr">
        <is>
          <t>Claude API list prices</t>
        </is>
      </c>
    </row>
    <row r="2">
      <c r="A2" t="inlineStr">
        <is>
          <t>USD per million tokens, from https://platform.claude.com/docs/en/about-claude/pricing, read 2026-09-28. Blue cells are inputs.</t>
        </is>
      </c>
    </row>
    <row r="4">
      <c r="A4" s="3" t="inlineStr">
        <is>
          <t>Pricing model</t>
        </is>
      </c>
      <c r="B4" s="3" t="inlineStr">
        <is>
          <t>Name</t>
        </is>
      </c>
      <c r="C4" s="3" t="inlineStr">
        <is>
          <t>Input</t>
        </is>
      </c>
      <c r="D4" s="3" t="inlineStr">
        <is>
          <t>Cache write 5m</t>
        </is>
      </c>
      <c r="E4" s="3" t="inlineStr">
        <is>
          <t>Cache write 1h</t>
        </is>
      </c>
      <c r="F4" s="3" t="inlineStr">
        <is>
          <t>Cache read</t>
        </is>
      </c>
      <c r="G4" s="3" t="inlineStr">
        <is>
          <t>Output</t>
        </is>
      </c>
    </row>
    <row r="5">
      <c r="A5" t="inlineStr">
        <is>
          <t>claude-fable-5</t>
        </is>
      </c>
      <c r="B5" t="inlineStr">
        <is>
          <t>Claude Fable 5</t>
        </is>
      </c>
      <c r="C5" s="27" t="n">
        <v>10</v>
      </c>
      <c r="D5" s="27" t="n">
        <v>12.5</v>
      </c>
      <c r="E5" s="27" t="n">
        <v>20</v>
      </c>
      <c r="F5" s="27" t="n">
        <v>1</v>
      </c>
      <c r="G5" s="27" t="n">
        <v>50</v>
      </c>
    </row>
    <row r="6">
      <c r="A6" t="inlineStr">
        <is>
          <t>claude-fable-5-1</t>
        </is>
      </c>
      <c r="B6" t="inlineStr">
        <is>
          <t>Claude Fable 5.1</t>
        </is>
      </c>
      <c r="C6" s="27" t="n">
        <v>10</v>
      </c>
      <c r="D6" s="27" t="n">
        <v>12.5</v>
      </c>
      <c r="E6" s="27" t="n">
        <v>20</v>
      </c>
      <c r="F6" s="27" t="n">
        <v>0.25</v>
      </c>
      <c r="G6" s="27" t="n">
        <v>50</v>
      </c>
    </row>
    <row r="7">
      <c r="A7" t="inlineStr">
        <is>
          <t>claude-haiku-3-5</t>
        </is>
      </c>
      <c r="B7" t="inlineStr">
        <is>
          <t>Claude Haiku 3.5</t>
        </is>
      </c>
      <c r="C7" s="27" t="n">
        <v>0.8</v>
      </c>
      <c r="D7" s="27" t="n">
        <v>1</v>
      </c>
      <c r="E7" s="27" t="n">
        <v>1.6</v>
      </c>
      <c r="F7" s="27" t="n">
        <v>0.08</v>
      </c>
      <c r="G7" s="27" t="n">
        <v>4</v>
      </c>
    </row>
    <row r="8">
      <c r="A8" t="inlineStr">
        <is>
          <t>claude-haiku-4-5</t>
        </is>
      </c>
      <c r="B8" t="inlineStr">
        <is>
          <t>Claude Haiku 4.5</t>
        </is>
      </c>
      <c r="C8" s="27" t="n">
        <v>1</v>
      </c>
      <c r="D8" s="27" t="n">
        <v>1.25</v>
      </c>
      <c r="E8" s="27" t="n">
        <v>2</v>
      </c>
      <c r="F8" s="27" t="n">
        <v>0.1</v>
      </c>
      <c r="G8" s="27" t="n">
        <v>5</v>
      </c>
    </row>
    <row r="9">
      <c r="A9" t="inlineStr">
        <is>
          <t>claude-mythos-5</t>
        </is>
      </c>
      <c r="B9" t="inlineStr">
        <is>
          <t>Claude Mythos 5</t>
        </is>
      </c>
      <c r="C9" s="27" t="n">
        <v>10</v>
      </c>
      <c r="D9" s="27" t="n">
        <v>12.5</v>
      </c>
      <c r="E9" s="27" t="n">
        <v>20</v>
      </c>
      <c r="F9" s="27" t="n">
        <v>1</v>
      </c>
      <c r="G9" s="27" t="n">
        <v>50</v>
      </c>
    </row>
    <row r="10">
      <c r="A10" t="inlineStr">
        <is>
          <t>claude-mythos-5-1</t>
        </is>
      </c>
      <c r="B10" t="inlineStr">
        <is>
          <t>Claude Mythos 5.1</t>
        </is>
      </c>
      <c r="C10" s="27" t="n">
        <v>10</v>
      </c>
      <c r="D10" s="27" t="n">
        <v>12.5</v>
      </c>
      <c r="E10" s="27" t="n">
        <v>20</v>
      </c>
      <c r="F10" s="27" t="n">
        <v>0.25</v>
      </c>
      <c r="G10" s="27" t="n">
        <v>50</v>
      </c>
    </row>
    <row r="11">
      <c r="A11" t="inlineStr">
        <is>
          <t>claude-opus-4</t>
        </is>
      </c>
      <c r="B11" t="inlineStr">
        <is>
          <t>Claude Opus 4</t>
        </is>
      </c>
      <c r="C11" s="27" t="n">
        <v>15</v>
      </c>
      <c r="D11" s="27" t="n">
        <v>18.75</v>
      </c>
      <c r="E11" s="27" t="n">
        <v>30</v>
      </c>
      <c r="F11" s="27" t="n">
        <v>1.5</v>
      </c>
      <c r="G11" s="27" t="n">
        <v>75</v>
      </c>
    </row>
    <row r="12">
      <c r="A12" t="inlineStr">
        <is>
          <t>claude-opus-4-1</t>
        </is>
      </c>
      <c r="B12" t="inlineStr">
        <is>
          <t>Claude Opus 4.1</t>
        </is>
      </c>
      <c r="C12" s="27" t="n">
        <v>15</v>
      </c>
      <c r="D12" s="27" t="n">
        <v>18.75</v>
      </c>
      <c r="E12" s="27" t="n">
        <v>30</v>
      </c>
      <c r="F12" s="27" t="n">
        <v>1.5</v>
      </c>
      <c r="G12" s="27" t="n">
        <v>75</v>
      </c>
    </row>
    <row r="13">
      <c r="A13" t="inlineStr">
        <is>
          <t>claude-opus-4-5</t>
        </is>
      </c>
      <c r="B13" t="inlineStr">
        <is>
          <t>Claude Opus 4.5</t>
        </is>
      </c>
      <c r="C13" s="27" t="n">
        <v>5</v>
      </c>
      <c r="D13" s="27" t="n">
        <v>6.25</v>
      </c>
      <c r="E13" s="27" t="n">
        <v>10</v>
      </c>
      <c r="F13" s="27" t="n">
        <v>0.5</v>
      </c>
      <c r="G13" s="27" t="n">
        <v>25</v>
      </c>
    </row>
    <row r="14">
      <c r="A14" t="inlineStr">
        <is>
          <t>claude-opus-4-6</t>
        </is>
      </c>
      <c r="B14" t="inlineStr">
        <is>
          <t>Claude Opus 4.6</t>
        </is>
      </c>
      <c r="C14" s="27" t="n">
        <v>5</v>
      </c>
      <c r="D14" s="27" t="n">
        <v>6.25</v>
      </c>
      <c r="E14" s="27" t="n">
        <v>10</v>
      </c>
      <c r="F14" s="27" t="n">
        <v>0.5</v>
      </c>
      <c r="G14" s="27" t="n">
        <v>25</v>
      </c>
    </row>
    <row r="15">
      <c r="A15" t="inlineStr">
        <is>
          <t>claude-opus-4-7</t>
        </is>
      </c>
      <c r="B15" t="inlineStr">
        <is>
          <t>Claude Opus 4.7</t>
        </is>
      </c>
      <c r="C15" s="27" t="n">
        <v>5</v>
      </c>
      <c r="D15" s="27" t="n">
        <v>6.25</v>
      </c>
      <c r="E15" s="27" t="n">
        <v>10</v>
      </c>
      <c r="F15" s="27" t="n">
        <v>0.5</v>
      </c>
      <c r="G15" s="27" t="n">
        <v>25</v>
      </c>
    </row>
    <row r="16">
      <c r="A16" t="inlineStr">
        <is>
          <t>claude-opus-4-8</t>
        </is>
      </c>
      <c r="B16" t="inlineStr">
        <is>
          <t>Claude Opus 4.8</t>
        </is>
      </c>
      <c r="C16" s="27" t="n">
        <v>5</v>
      </c>
      <c r="D16" s="27" t="n">
        <v>6.25</v>
      </c>
      <c r="E16" s="27" t="n">
        <v>10</v>
      </c>
      <c r="F16" s="27" t="n">
        <v>0.5</v>
      </c>
      <c r="G16" s="27" t="n">
        <v>25</v>
      </c>
    </row>
    <row r="17">
      <c r="A17" t="inlineStr">
        <is>
          <t>claude-opus-5</t>
        </is>
      </c>
      <c r="B17" t="inlineStr">
        <is>
          <t>Claude Opus 5</t>
        </is>
      </c>
      <c r="C17" s="27" t="n">
        <v>5</v>
      </c>
      <c r="D17" s="27" t="n">
        <v>6.25</v>
      </c>
      <c r="E17" s="27" t="n">
        <v>10</v>
      </c>
      <c r="F17" s="27" t="n">
        <v>0.5</v>
      </c>
      <c r="G17" s="27" t="n">
        <v>25</v>
      </c>
    </row>
    <row r="18">
      <c r="A18" t="inlineStr">
        <is>
          <t>claude-opus-5-5</t>
        </is>
      </c>
      <c r="B18" t="inlineStr">
        <is>
          <t>Claude Opus 5.5</t>
        </is>
      </c>
      <c r="C18" s="27" t="n">
        <v>4</v>
      </c>
      <c r="D18" s="27" t="n">
        <v>5</v>
      </c>
      <c r="E18" s="27" t="n">
        <v>8</v>
      </c>
      <c r="F18" s="27" t="n">
        <v>0.2</v>
      </c>
      <c r="G18" s="27" t="n">
        <v>20</v>
      </c>
    </row>
    <row r="19">
      <c r="A19" t="inlineStr">
        <is>
          <t>claude-sonnet-4</t>
        </is>
      </c>
      <c r="B19" t="inlineStr">
        <is>
          <t>Claude Sonnet 4</t>
        </is>
      </c>
      <c r="C19" s="27" t="n">
        <v>3</v>
      </c>
      <c r="D19" s="27" t="n">
        <v>3.75</v>
      </c>
      <c r="E19" s="27" t="n">
        <v>6</v>
      </c>
      <c r="F19" s="27" t="n">
        <v>0.3</v>
      </c>
      <c r="G19" s="27" t="n">
        <v>15</v>
      </c>
    </row>
    <row r="20">
      <c r="A20" t="inlineStr">
        <is>
          <t>claude-sonnet-4-5</t>
        </is>
      </c>
      <c r="B20" t="inlineStr">
        <is>
          <t>Claude Sonnet 4.5</t>
        </is>
      </c>
      <c r="C20" s="27" t="n">
        <v>3</v>
      </c>
      <c r="D20" s="27" t="n">
        <v>3.75</v>
      </c>
      <c r="E20" s="27" t="n">
        <v>6</v>
      </c>
      <c r="F20" s="27" t="n">
        <v>0.3</v>
      </c>
      <c r="G20" s="27" t="n">
        <v>15</v>
      </c>
    </row>
    <row r="21">
      <c r="A21" t="inlineStr">
        <is>
          <t>claude-sonnet-4-6</t>
        </is>
      </c>
      <c r="B21" t="inlineStr">
        <is>
          <t>Claude Sonnet 4.6</t>
        </is>
      </c>
      <c r="C21" s="27" t="n">
        <v>3</v>
      </c>
      <c r="D21" s="27" t="n">
        <v>3.75</v>
      </c>
      <c r="E21" s="27" t="n">
        <v>6</v>
      </c>
      <c r="F21" s="27" t="n">
        <v>0.3</v>
      </c>
      <c r="G21" s="27" t="n">
        <v>15</v>
      </c>
    </row>
    <row r="22">
      <c r="A22" t="inlineStr">
        <is>
          <t>claude-sonnet-5</t>
        </is>
      </c>
      <c r="B22" t="inlineStr">
        <is>
          <t>Claude Sonnet 5</t>
        </is>
      </c>
      <c r="C22" s="27" t="n">
        <v>2</v>
      </c>
      <c r="D22" s="27" t="n">
        <v>2.5</v>
      </c>
      <c r="E22" s="27" t="n">
        <v>4</v>
      </c>
      <c r="F22" s="27" t="n">
        <v>0.2</v>
      </c>
      <c r="G22" s="27" t="n">
        <v>10</v>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28" customWidth="1" min="1" max="1"/>
    <col width="10" customWidth="1" min="2" max="2"/>
    <col width="14" customWidth="1" min="3" max="3"/>
    <col width="16" customWidth="1" min="4" max="4"/>
    <col width="16" customWidth="1" min="5" max="5"/>
    <col width="16" customWidth="1" min="6" max="6"/>
    <col width="14" customWidth="1" min="7" max="7"/>
    <col width="14" customWidth="1" min="8" max="8"/>
    <col width="14" customWidth="1" min="9" max="9"/>
  </cols>
  <sheetData>
    <row r="1">
      <c r="A1" s="1" t="inlineStr">
        <is>
          <t>Claude API usage</t>
        </is>
      </c>
    </row>
    <row r="2">
      <c r="A2" t="inlineStr">
        <is>
          <t>API calls and tokens counted from this project's Claude Code logs, costed at Claude API list prices. On a Pro, Max, Team or Enterprise subscription the bill is per seat: this is the API-equivalent cost.</t>
        </is>
      </c>
    </row>
    <row r="4">
      <c r="A4" s="3" t="inlineStr">
        <is>
          <t>Model</t>
        </is>
      </c>
      <c r="B4" s="3" t="inlineStr">
        <is>
          <t>Calls</t>
        </is>
      </c>
      <c r="C4" s="3" t="inlineStr">
        <is>
          <t>Input tokens</t>
        </is>
      </c>
      <c r="D4" s="3" t="inlineStr">
        <is>
          <t>Cache write 5m tokens</t>
        </is>
      </c>
      <c r="E4" s="3" t="inlineStr">
        <is>
          <t>Cache write 1h tokens</t>
        </is>
      </c>
      <c r="F4" s="3" t="inlineStr">
        <is>
          <t>Cache read tokens</t>
        </is>
      </c>
      <c r="G4" s="3" t="inlineStr">
        <is>
          <t>Output tokens</t>
        </is>
      </c>
      <c r="H4" s="3" t="inlineStr">
        <is>
          <t>Cost (USD)</t>
        </is>
      </c>
      <c r="I4" s="3" t="inlineStr">
        <is>
          <t>Cost (USD)</t>
        </is>
      </c>
    </row>
    <row r="5">
      <c r="A5" t="inlineStr">
        <is>
          <t>claude-haiku-4-5-20251001</t>
        </is>
      </c>
      <c r="B5" s="36">
        <f>SUMIFS('Claude Usage Detail'!$I$5:$I$19,'Claude Usage Detail'!$E$5:$E$19,"="&amp;$A5)</f>
        <v/>
      </c>
      <c r="C5" s="36">
        <f>SUMIFS('Claude Usage Detail'!$J$5:$J$19,'Claude Usage Detail'!$E$5:$E$19,"="&amp;$A5)</f>
        <v/>
      </c>
      <c r="D5" s="36">
        <f>SUMIFS('Claude Usage Detail'!$K$5:$K$19,'Claude Usage Detail'!$E$5:$E$19,"="&amp;$A5)</f>
        <v/>
      </c>
      <c r="E5" s="36">
        <f>SUMIFS('Claude Usage Detail'!$L$5:$L$19,'Claude Usage Detail'!$E$5:$E$19,"="&amp;$A5)</f>
        <v/>
      </c>
      <c r="F5" s="36">
        <f>SUMIFS('Claude Usage Detail'!$M$5:$M$19,'Claude Usage Detail'!$E$5:$E$19,"="&amp;$A5)</f>
        <v/>
      </c>
      <c r="G5" s="36">
        <f>SUMIFS('Claude Usage Detail'!$N$5:$N$19,'Claude Usage Detail'!$E$5:$E$19,"="&amp;$A5)</f>
        <v/>
      </c>
      <c r="H5" s="14">
        <f>SUMIFS('Claude Usage Detail'!$O$5:$O$19,'Claude Usage Detail'!$E$5:$E$19,"="&amp;$A5)</f>
        <v/>
      </c>
      <c r="I5" s="14">
        <f>SUMIFS('Claude Usage Detail'!$P$5:$P$19,'Claude Usage Detail'!$E$5:$E$19,"="&amp;$A5)</f>
        <v/>
      </c>
    </row>
    <row r="6">
      <c r="A6" t="inlineStr">
        <is>
          <t>claude-opus-5-5</t>
        </is>
      </c>
      <c r="B6" s="36">
        <f>SUMIFS('Claude Usage Detail'!$I$5:$I$19,'Claude Usage Detail'!$E$5:$E$19,"="&amp;$A6)</f>
        <v/>
      </c>
      <c r="C6" s="36">
        <f>SUMIFS('Claude Usage Detail'!$J$5:$J$19,'Claude Usage Detail'!$E$5:$E$19,"="&amp;$A6)</f>
        <v/>
      </c>
      <c r="D6" s="36">
        <f>SUMIFS('Claude Usage Detail'!$K$5:$K$19,'Claude Usage Detail'!$E$5:$E$19,"="&amp;$A6)</f>
        <v/>
      </c>
      <c r="E6" s="36">
        <f>SUMIFS('Claude Usage Detail'!$L$5:$L$19,'Claude Usage Detail'!$E$5:$E$19,"="&amp;$A6)</f>
        <v/>
      </c>
      <c r="F6" s="36">
        <f>SUMIFS('Claude Usage Detail'!$M$5:$M$19,'Claude Usage Detail'!$E$5:$E$19,"="&amp;$A6)</f>
        <v/>
      </c>
      <c r="G6" s="36">
        <f>SUMIFS('Claude Usage Detail'!$N$5:$N$19,'Claude Usage Detail'!$E$5:$E$19,"="&amp;$A6)</f>
        <v/>
      </c>
      <c r="H6" s="14">
        <f>SUMIFS('Claude Usage Detail'!$O$5:$O$19,'Claude Usage Detail'!$E$5:$E$19,"="&amp;$A6)</f>
        <v/>
      </c>
      <c r="I6" s="14">
        <f>SUMIFS('Claude Usage Detail'!$P$5:$P$19,'Claude Usage Detail'!$E$5:$E$19,"="&amp;$A6)</f>
        <v/>
      </c>
    </row>
    <row r="7">
      <c r="A7" t="inlineStr">
        <is>
          <t>claude-sonnet-5</t>
        </is>
      </c>
      <c r="B7" s="36">
        <f>SUMIFS('Claude Usage Detail'!$I$5:$I$19,'Claude Usage Detail'!$E$5:$E$19,"="&amp;$A7)</f>
        <v/>
      </c>
      <c r="C7" s="36">
        <f>SUMIFS('Claude Usage Detail'!$J$5:$J$19,'Claude Usage Detail'!$E$5:$E$19,"="&amp;$A7)</f>
        <v/>
      </c>
      <c r="D7" s="36">
        <f>SUMIFS('Claude Usage Detail'!$K$5:$K$19,'Claude Usage Detail'!$E$5:$E$19,"="&amp;$A7)</f>
        <v/>
      </c>
      <c r="E7" s="36">
        <f>SUMIFS('Claude Usage Detail'!$L$5:$L$19,'Claude Usage Detail'!$E$5:$E$19,"="&amp;$A7)</f>
        <v/>
      </c>
      <c r="F7" s="36">
        <f>SUMIFS('Claude Usage Detail'!$M$5:$M$19,'Claude Usage Detail'!$E$5:$E$19,"="&amp;$A7)</f>
        <v/>
      </c>
      <c r="G7" s="36">
        <f>SUMIFS('Claude Usage Detail'!$N$5:$N$19,'Claude Usage Detail'!$E$5:$E$19,"="&amp;$A7)</f>
        <v/>
      </c>
      <c r="H7" s="14">
        <f>SUMIFS('Claude Usage Detail'!$O$5:$O$19,'Claude Usage Detail'!$E$5:$E$19,"="&amp;$A7)</f>
        <v/>
      </c>
      <c r="I7" s="14">
        <f>SUMIFS('Claude Usage Detail'!$P$5:$P$19,'Claude Usage Detail'!$E$5:$E$19,"="&amp;$A7)</f>
        <v/>
      </c>
    </row>
    <row r="8">
      <c r="A8" s="16" t="inlineStr">
        <is>
          <t>Total</t>
        </is>
      </c>
      <c r="B8" s="37">
        <f>SUM(B5:B7)</f>
        <v/>
      </c>
      <c r="C8" s="37">
        <f>SUM(C5:C7)</f>
        <v/>
      </c>
      <c r="D8" s="37">
        <f>SUM(D5:D7)</f>
        <v/>
      </c>
      <c r="E8" s="37">
        <f>SUM(E5:E7)</f>
        <v/>
      </c>
      <c r="F8" s="37">
        <f>SUM(F5:F7)</f>
        <v/>
      </c>
      <c r="G8" s="37">
        <f>SUM(G5:G7)</f>
        <v/>
      </c>
      <c r="H8" s="18">
        <f>SUM(H5:H7)</f>
        <v/>
      </c>
      <c r="I8" s="18">
        <f>SUM(I5:I7)</f>
        <v/>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19"/>
  <sheetViews>
    <sheetView workbookViewId="0">
      <pane ySplit="4" topLeftCell="A5" activePane="bottomLeft" state="frozen"/>
      <selection pane="bottomLeft" activeCell="A1" sqref="A1"/>
    </sheetView>
  </sheetViews>
  <sheetFormatPr baseColWidth="8" defaultRowHeight="15"/>
  <cols>
    <col width="10" customWidth="1" min="1" max="1"/>
    <col width="30" customWidth="1" min="2" max="2"/>
    <col width="9" customWidth="1" min="3" max="3"/>
    <col width="30" customWidth="1" min="4" max="4"/>
    <col width="26" customWidth="1" min="5" max="5"/>
    <col width="22" customWidth="1" min="6" max="6"/>
    <col width="17" customWidth="1" min="7" max="7"/>
    <col width="17" customWidth="1" min="8" max="8"/>
    <col width="9" customWidth="1" min="9" max="9"/>
    <col width="14" customWidth="1" min="10" max="10"/>
    <col width="14" customWidth="1" min="11" max="11"/>
    <col width="14" customWidth="1" min="12" max="12"/>
    <col width="16" customWidth="1" min="13" max="13"/>
    <col width="14" customWidth="1" min="14" max="14"/>
    <col width="14" customWidth="1" min="15" max="15"/>
    <col width="14" customWidth="1" min="16" max="16"/>
  </cols>
  <sheetData>
    <row r="1">
      <c r="A1" s="1" t="inlineStr">
        <is>
          <t>Claude API calls by work item and model</t>
        </is>
      </c>
    </row>
    <row r="2">
      <c r="A2" t="inlineStr">
        <is>
          <t>From the token ledger (claude_usage.csv). Cost = tokens x the Claude Prices sheet; models with no price cost 0.</t>
        </is>
      </c>
    </row>
    <row r="4">
      <c r="A4" s="3" t="inlineStr">
        <is>
          <t>Kind</t>
        </is>
      </c>
      <c r="B4" s="3" t="inlineStr">
        <is>
          <t>Work item</t>
        </is>
      </c>
      <c r="C4" s="3" t="inlineStr">
        <is>
          <t>Story no</t>
        </is>
      </c>
      <c r="D4" s="3" t="inlineStr">
        <is>
          <t>Title</t>
        </is>
      </c>
      <c r="E4" s="3" t="inlineStr">
        <is>
          <t>Model</t>
        </is>
      </c>
      <c r="F4" s="3" t="inlineStr">
        <is>
          <t>Pricing model</t>
        </is>
      </c>
      <c r="G4" s="3" t="inlineStr">
        <is>
          <t>First call</t>
        </is>
      </c>
      <c r="H4" s="3" t="inlineStr">
        <is>
          <t>Last call</t>
        </is>
      </c>
      <c r="I4" s="3" t="inlineStr">
        <is>
          <t>Calls</t>
        </is>
      </c>
      <c r="J4" s="3" t="inlineStr">
        <is>
          <t>Input tokens</t>
        </is>
      </c>
      <c r="K4" s="3" t="inlineStr">
        <is>
          <t>Cache write 5m tokens</t>
        </is>
      </c>
      <c r="L4" s="3" t="inlineStr">
        <is>
          <t>Cache write 1h tokens</t>
        </is>
      </c>
      <c r="M4" s="3" t="inlineStr">
        <is>
          <t>Cache read tokens</t>
        </is>
      </c>
      <c r="N4" s="3" t="inlineStr">
        <is>
          <t>Output tokens</t>
        </is>
      </c>
      <c r="O4" s="3" t="inlineStr">
        <is>
          <t>Cost (USD)</t>
        </is>
      </c>
      <c r="P4" s="3" t="inlineStr">
        <is>
          <t>Cost (USD)</t>
        </is>
      </c>
    </row>
    <row r="5">
      <c r="A5" t="inlineStr">
        <is>
          <t>planning</t>
        </is>
      </c>
      <c r="B5" t="inlineStr">
        <is>
          <t>brainstorming</t>
        </is>
      </c>
      <c r="C5" t="inlineStr"/>
      <c r="D5" t="inlineStr"/>
      <c r="E5" t="inlineStr">
        <is>
          <t>claude-opus-5-5</t>
        </is>
      </c>
      <c r="F5" t="inlineStr">
        <is>
          <t>claude-opus-5-5</t>
        </is>
      </c>
      <c r="G5" s="38" t="n">
        <v>46027.375</v>
      </c>
      <c r="H5" s="38" t="n">
        <v>46027.70833333334</v>
      </c>
      <c r="I5" s="36" t="n">
        <v>42</v>
      </c>
      <c r="J5" s="36" t="n">
        <v>9000</v>
      </c>
      <c r="K5" s="36" t="n">
        <v>120000</v>
      </c>
      <c r="L5" s="36" t="n">
        <v>380000</v>
      </c>
      <c r="M5" s="36" t="n">
        <v>6100000</v>
      </c>
      <c r="N5" s="36" t="n">
        <v>95000</v>
      </c>
      <c r="O5" s="14">
        <f>IFERROR((J5*VLOOKUP($F5,'Claude Prices'!$A$5:$G$22,3,FALSE)+K5*VLOOKUP($F5,'Claude Prices'!$A$5:$G$22,4,FALSE)+L5*VLOOKUP($F5,'Claude Prices'!$A$5:$G$22,5,FALSE)+M5*VLOOKUP($F5,'Claude Prices'!$A$5:$G$22,6,FALSE)+N5*VLOOKUP($F5,'Claude Prices'!$A$5:$G$22,7,FALSE))/1000000,0)</f>
        <v/>
      </c>
      <c r="P5" s="14">
        <f>O5*ClaudeFxRate</f>
        <v/>
      </c>
    </row>
    <row r="6">
      <c r="A6" t="inlineStr">
        <is>
          <t>planning</t>
        </is>
      </c>
      <c r="B6" t="inlineStr">
        <is>
          <t>spec</t>
        </is>
      </c>
      <c r="C6" t="inlineStr"/>
      <c r="D6" t="inlineStr"/>
      <c r="E6" t="inlineStr">
        <is>
          <t>claude-opus-5-5</t>
        </is>
      </c>
      <c r="F6" t="inlineStr">
        <is>
          <t>claude-opus-5-5</t>
        </is>
      </c>
      <c r="G6" s="38" t="n">
        <v>46028.375</v>
      </c>
      <c r="H6" s="38" t="n">
        <v>46030.70833333334</v>
      </c>
      <c r="I6" s="36" t="n">
        <v>118</v>
      </c>
      <c r="J6" s="36" t="n">
        <v>21000</v>
      </c>
      <c r="K6" s="36" t="n">
        <v>300000</v>
      </c>
      <c r="L6" s="36" t="n">
        <v>1250000</v>
      </c>
      <c r="M6" s="36" t="n">
        <v>21400000</v>
      </c>
      <c r="N6" s="36" t="n">
        <v>310000</v>
      </c>
      <c r="O6" s="14">
        <f>IFERROR((J6*VLOOKUP($F6,'Claude Prices'!$A$5:$G$22,3,FALSE)+K6*VLOOKUP($F6,'Claude Prices'!$A$5:$G$22,4,FALSE)+L6*VLOOKUP($F6,'Claude Prices'!$A$5:$G$22,5,FALSE)+M6*VLOOKUP($F6,'Claude Prices'!$A$5:$G$22,6,FALSE)+N6*VLOOKUP($F6,'Claude Prices'!$A$5:$G$22,7,FALSE))/1000000,0)</f>
        <v/>
      </c>
      <c r="P6" s="14">
        <f>O6*ClaudeFxRate</f>
        <v/>
      </c>
    </row>
    <row r="7">
      <c r="A7" t="inlineStr">
        <is>
          <t>planning</t>
        </is>
      </c>
      <c r="B7" t="inlineStr">
        <is>
          <t>architecture</t>
        </is>
      </c>
      <c r="C7" t="inlineStr"/>
      <c r="D7" t="inlineStr"/>
      <c r="E7" t="inlineStr">
        <is>
          <t>claude-opus-5-5</t>
        </is>
      </c>
      <c r="F7" t="inlineStr">
        <is>
          <t>claude-opus-5-5</t>
        </is>
      </c>
      <c r="G7" s="38" t="n">
        <v>46034.375</v>
      </c>
      <c r="H7" s="38" t="n">
        <v>46044.70833333334</v>
      </c>
      <c r="I7" s="36" t="n">
        <v>356</v>
      </c>
      <c r="J7" s="36" t="n">
        <v>64000</v>
      </c>
      <c r="K7" s="36" t="n">
        <v>820000</v>
      </c>
      <c r="L7" s="36" t="n">
        <v>3900000</v>
      </c>
      <c r="M7" s="36" t="n">
        <v>68200000</v>
      </c>
      <c r="N7" s="36" t="n">
        <v>905000</v>
      </c>
      <c r="O7" s="14">
        <f>IFERROR((J7*VLOOKUP($F7,'Claude Prices'!$A$5:$G$22,3,FALSE)+K7*VLOOKUP($F7,'Claude Prices'!$A$5:$G$22,4,FALSE)+L7*VLOOKUP($F7,'Claude Prices'!$A$5:$G$22,5,FALSE)+M7*VLOOKUP($F7,'Claude Prices'!$A$5:$G$22,6,FALSE)+N7*VLOOKUP($F7,'Claude Prices'!$A$5:$G$22,7,FALSE))/1000000,0)</f>
        <v/>
      </c>
      <c r="P7" s="14">
        <f>O7*ClaudeFxRate</f>
        <v/>
      </c>
    </row>
    <row r="8">
      <c r="A8" t="inlineStr">
        <is>
          <t>planning</t>
        </is>
      </c>
      <c r="B8" t="inlineStr">
        <is>
          <t>UX design</t>
        </is>
      </c>
      <c r="C8" t="inlineStr"/>
      <c r="D8" t="inlineStr"/>
      <c r="E8" t="inlineStr">
        <is>
          <t>claude-sonnet-5</t>
        </is>
      </c>
      <c r="F8" t="inlineStr">
        <is>
          <t>claude-sonnet-5</t>
        </is>
      </c>
      <c r="G8" s="38" t="n">
        <v>46041.375</v>
      </c>
      <c r="H8" s="38" t="n">
        <v>46045.70833333334</v>
      </c>
      <c r="I8" s="36" t="n">
        <v>164</v>
      </c>
      <c r="J8" s="36" t="n">
        <v>30000</v>
      </c>
      <c r="K8" s="36" t="n">
        <v>410000</v>
      </c>
      <c r="L8" s="36" t="n">
        <v>1500000</v>
      </c>
      <c r="M8" s="36" t="n">
        <v>24800000</v>
      </c>
      <c r="N8" s="36" t="n">
        <v>420000</v>
      </c>
      <c r="O8" s="14">
        <f>IFERROR((J8*VLOOKUP($F8,'Claude Prices'!$A$5:$G$22,3,FALSE)+K8*VLOOKUP($F8,'Claude Prices'!$A$5:$G$22,4,FALSE)+L8*VLOOKUP($F8,'Claude Prices'!$A$5:$G$22,5,FALSE)+M8*VLOOKUP($F8,'Claude Prices'!$A$5:$G$22,6,FALSE)+N8*VLOOKUP($F8,'Claude Prices'!$A$5:$G$22,7,FALSE))/1000000,0)</f>
        <v/>
      </c>
      <c r="P8" s="14">
        <f>O8*ClaudeFxRate</f>
        <v/>
      </c>
    </row>
    <row r="9">
      <c r="A9" t="inlineStr">
        <is>
          <t>planning</t>
        </is>
      </c>
      <c r="B9" t="inlineStr">
        <is>
          <t>epics &amp; stories</t>
        </is>
      </c>
      <c r="C9" t="inlineStr"/>
      <c r="D9" t="inlineStr"/>
      <c r="E9" t="inlineStr">
        <is>
          <t>claude-sonnet-5</t>
        </is>
      </c>
      <c r="F9" t="inlineStr">
        <is>
          <t>claude-sonnet-5</t>
        </is>
      </c>
      <c r="G9" s="38" t="n">
        <v>46048.375</v>
      </c>
      <c r="H9" s="38" t="n">
        <v>46049.70833333334</v>
      </c>
      <c r="I9" s="36" t="n">
        <v>97</v>
      </c>
      <c r="J9" s="36" t="n">
        <v>18000</v>
      </c>
      <c r="K9" s="36" t="n">
        <v>260000</v>
      </c>
      <c r="L9" s="36" t="n">
        <v>900000</v>
      </c>
      <c r="M9" s="36" t="n">
        <v>14600000</v>
      </c>
      <c r="N9" s="36" t="n">
        <v>260000</v>
      </c>
      <c r="O9" s="14">
        <f>IFERROR((J9*VLOOKUP($F9,'Claude Prices'!$A$5:$G$22,3,FALSE)+K9*VLOOKUP($F9,'Claude Prices'!$A$5:$G$22,4,FALSE)+L9*VLOOKUP($F9,'Claude Prices'!$A$5:$G$22,5,FALSE)+M9*VLOOKUP($F9,'Claude Prices'!$A$5:$G$22,6,FALSE)+N9*VLOOKUP($F9,'Claude Prices'!$A$5:$G$22,7,FALSE))/1000000,0)</f>
        <v/>
      </c>
      <c r="P9" s="14">
        <f>O9*ClaudeFxRate</f>
        <v/>
      </c>
    </row>
    <row r="10">
      <c r="A10" t="inlineStr">
        <is>
          <t>planning</t>
        </is>
      </c>
      <c r="B10" t="inlineStr">
        <is>
          <t>governance (Jules)</t>
        </is>
      </c>
      <c r="C10" t="inlineStr"/>
      <c r="D10" t="inlineStr"/>
      <c r="E10" t="inlineStr">
        <is>
          <t>claude-opus-5-5</t>
        </is>
      </c>
      <c r="F10" t="inlineStr">
        <is>
          <t>claude-opus-5-5</t>
        </is>
      </c>
      <c r="G10" s="38" t="n">
        <v>46042.375</v>
      </c>
      <c r="H10" s="38" t="n">
        <v>46073.70833333334</v>
      </c>
      <c r="I10" s="36" t="n">
        <v>88</v>
      </c>
      <c r="J10" s="36" t="n">
        <v>15000</v>
      </c>
      <c r="K10" s="36" t="n">
        <v>210000</v>
      </c>
      <c r="L10" s="36" t="n">
        <v>760000</v>
      </c>
      <c r="M10" s="36" t="n">
        <v>12500000</v>
      </c>
      <c r="N10" s="36" t="n">
        <v>180000</v>
      </c>
      <c r="O10" s="14">
        <f>IFERROR((J10*VLOOKUP($F10,'Claude Prices'!$A$5:$G$22,3,FALSE)+K10*VLOOKUP($F10,'Claude Prices'!$A$5:$G$22,4,FALSE)+L10*VLOOKUP($F10,'Claude Prices'!$A$5:$G$22,5,FALSE)+M10*VLOOKUP($F10,'Claude Prices'!$A$5:$G$22,6,FALSE)+N10*VLOOKUP($F10,'Claude Prices'!$A$5:$G$22,7,FALSE))/1000000,0)</f>
        <v/>
      </c>
      <c r="P10" s="14">
        <f>O10*ClaudeFxRate</f>
        <v/>
      </c>
    </row>
    <row r="11">
      <c r="A11" t="inlineStr">
        <is>
          <t>planning</t>
        </is>
      </c>
      <c r="B11" t="inlineStr">
        <is>
          <t>architecture docs (Da Vinci)</t>
        </is>
      </c>
      <c r="C11" t="inlineStr"/>
      <c r="D11" t="inlineStr"/>
      <c r="E11" t="inlineStr">
        <is>
          <t>claude-opus-5-5</t>
        </is>
      </c>
      <c r="F11" t="inlineStr">
        <is>
          <t>claude-opus-5-5</t>
        </is>
      </c>
      <c r="G11" s="38" t="n">
        <v>46042.375</v>
      </c>
      <c r="H11" s="38" t="n">
        <v>46044.70833333334</v>
      </c>
      <c r="I11" s="36" t="n">
        <v>61</v>
      </c>
      <c r="J11" s="36" t="n">
        <v>11000</v>
      </c>
      <c r="K11" s="36" t="n">
        <v>150000</v>
      </c>
      <c r="L11" s="36" t="n">
        <v>520000</v>
      </c>
      <c r="M11" s="36" t="n">
        <v>8700000</v>
      </c>
      <c r="N11" s="36" t="n">
        <v>140000</v>
      </c>
      <c r="O11" s="14">
        <f>IFERROR((J11*VLOOKUP($F11,'Claude Prices'!$A$5:$G$22,3,FALSE)+K11*VLOOKUP($F11,'Claude Prices'!$A$5:$G$22,4,FALSE)+L11*VLOOKUP($F11,'Claude Prices'!$A$5:$G$22,5,FALSE)+M11*VLOOKUP($F11,'Claude Prices'!$A$5:$G$22,6,FALSE)+N11*VLOOKUP($F11,'Claude Prices'!$A$5:$G$22,7,FALSE))/1000000,0)</f>
        <v/>
      </c>
      <c r="P11" s="14">
        <f>O11*ClaudeFxRate</f>
        <v/>
      </c>
    </row>
    <row r="12">
      <c r="A12" t="inlineStr">
        <is>
          <t>story</t>
        </is>
      </c>
      <c r="B12" t="inlineStr">
        <is>
          <t>FAL-11</t>
        </is>
      </c>
      <c r="C12" t="inlineStr">
        <is>
          <t>1.1</t>
        </is>
      </c>
      <c r="D12" t="inlineStr">
        <is>
          <t>Sign in with Entra ID</t>
        </is>
      </c>
      <c r="E12" t="inlineStr">
        <is>
          <t>claude-sonnet-5</t>
        </is>
      </c>
      <c r="F12" t="inlineStr">
        <is>
          <t>claude-sonnet-5</t>
        </is>
      </c>
      <c r="G12" s="38" t="n">
        <v>46083.375</v>
      </c>
      <c r="H12" s="38" t="n">
        <v>46098.70833333334</v>
      </c>
      <c r="I12" s="36" t="n">
        <v>212</v>
      </c>
      <c r="J12" s="36" t="n">
        <v>40000</v>
      </c>
      <c r="K12" s="36" t="n">
        <v>500000</v>
      </c>
      <c r="L12" s="36" t="n">
        <v>2100000</v>
      </c>
      <c r="M12" s="36" t="n">
        <v>33900000</v>
      </c>
      <c r="N12" s="36" t="n">
        <v>520000</v>
      </c>
      <c r="O12" s="14">
        <f>IFERROR((J12*VLOOKUP($F12,'Claude Prices'!$A$5:$G$22,3,FALSE)+K12*VLOOKUP($F12,'Claude Prices'!$A$5:$G$22,4,FALSE)+L12*VLOOKUP($F12,'Claude Prices'!$A$5:$G$22,5,FALSE)+M12*VLOOKUP($F12,'Claude Prices'!$A$5:$G$22,6,FALSE)+N12*VLOOKUP($F12,'Claude Prices'!$A$5:$G$22,7,FALSE))/1000000,0)</f>
        <v/>
      </c>
      <c r="P12" s="14">
        <f>O12*ClaudeFxRate</f>
        <v/>
      </c>
    </row>
    <row r="13">
      <c r="A13" t="inlineStr">
        <is>
          <t>story</t>
        </is>
      </c>
      <c r="B13" t="inlineStr">
        <is>
          <t>FAL-12</t>
        </is>
      </c>
      <c r="C13" t="inlineStr">
        <is>
          <t>1.2</t>
        </is>
      </c>
      <c r="D13" t="inlineStr">
        <is>
          <t>Start an application</t>
        </is>
      </c>
      <c r="E13" t="inlineStr">
        <is>
          <t>claude-sonnet-5</t>
        </is>
      </c>
      <c r="F13" t="inlineStr">
        <is>
          <t>claude-sonnet-5</t>
        </is>
      </c>
      <c r="G13" s="38" t="n">
        <v>46099.375</v>
      </c>
      <c r="H13" s="38" t="n">
        <v>46114.70833333334</v>
      </c>
      <c r="I13" s="36" t="n">
        <v>305</v>
      </c>
      <c r="J13" s="36" t="n">
        <v>57000</v>
      </c>
      <c r="K13" s="36" t="n">
        <v>720000</v>
      </c>
      <c r="L13" s="36" t="n">
        <v>3000000</v>
      </c>
      <c r="M13" s="36" t="n">
        <v>48700000</v>
      </c>
      <c r="N13" s="36" t="n">
        <v>760000</v>
      </c>
      <c r="O13" s="14">
        <f>IFERROR((J13*VLOOKUP($F13,'Claude Prices'!$A$5:$G$22,3,FALSE)+K13*VLOOKUP($F13,'Claude Prices'!$A$5:$G$22,4,FALSE)+L13*VLOOKUP($F13,'Claude Prices'!$A$5:$G$22,5,FALSE)+M13*VLOOKUP($F13,'Claude Prices'!$A$5:$G$22,6,FALSE)+N13*VLOOKUP($F13,'Claude Prices'!$A$5:$G$22,7,FALSE))/1000000,0)</f>
        <v/>
      </c>
      <c r="P13" s="14">
        <f>O13*ClaudeFxRate</f>
        <v/>
      </c>
    </row>
    <row r="14">
      <c r="A14" t="inlineStr">
        <is>
          <t>story</t>
        </is>
      </c>
      <c r="B14" t="inlineStr">
        <is>
          <t>FAL-13</t>
        </is>
      </c>
      <c r="C14" t="inlineStr">
        <is>
          <t>1.3</t>
        </is>
      </c>
      <c r="D14" t="inlineStr">
        <is>
          <t>Upload documents</t>
        </is>
      </c>
      <c r="E14" t="inlineStr">
        <is>
          <t>claude-sonnet-5</t>
        </is>
      </c>
      <c r="F14" t="inlineStr">
        <is>
          <t>claude-sonnet-5</t>
        </is>
      </c>
      <c r="G14" s="38" t="n">
        <v>46115.375</v>
      </c>
      <c r="H14" s="38" t="n">
        <v>46132.70833333334</v>
      </c>
      <c r="I14" s="36" t="n">
        <v>248</v>
      </c>
      <c r="J14" s="36" t="n">
        <v>46000</v>
      </c>
      <c r="K14" s="36" t="n">
        <v>600000</v>
      </c>
      <c r="L14" s="36" t="n">
        <v>2500000</v>
      </c>
      <c r="M14" s="36" t="n">
        <v>40100000</v>
      </c>
      <c r="N14" s="36" t="n">
        <v>610000</v>
      </c>
      <c r="O14" s="14">
        <f>IFERROR((J14*VLOOKUP($F14,'Claude Prices'!$A$5:$G$22,3,FALSE)+K14*VLOOKUP($F14,'Claude Prices'!$A$5:$G$22,4,FALSE)+L14*VLOOKUP($F14,'Claude Prices'!$A$5:$G$22,5,FALSE)+M14*VLOOKUP($F14,'Claude Prices'!$A$5:$G$22,6,FALSE)+N14*VLOOKUP($F14,'Claude Prices'!$A$5:$G$22,7,FALSE))/1000000,0)</f>
        <v/>
      </c>
      <c r="P14" s="14">
        <f>O14*ClaudeFxRate</f>
        <v/>
      </c>
    </row>
    <row r="15">
      <c r="A15" t="inlineStr">
        <is>
          <t>story</t>
        </is>
      </c>
      <c r="B15" t="inlineStr">
        <is>
          <t>FAL-13</t>
        </is>
      </c>
      <c r="C15" t="inlineStr">
        <is>
          <t>1.3</t>
        </is>
      </c>
      <c r="D15" t="inlineStr">
        <is>
          <t>Upload documents</t>
        </is>
      </c>
      <c r="E15" t="inlineStr">
        <is>
          <t>claude-haiku-4-5-20251001</t>
        </is>
      </c>
      <c r="F15" t="inlineStr">
        <is>
          <t>claude-haiku-4-5</t>
        </is>
      </c>
      <c r="G15" s="38" t="n">
        <v>46115.375</v>
      </c>
      <c r="H15" s="38" t="n">
        <v>46132.70833333334</v>
      </c>
      <c r="I15" s="36" t="n">
        <v>96</v>
      </c>
      <c r="J15" s="36" t="n">
        <v>18000</v>
      </c>
      <c r="K15" s="36" t="n">
        <v>90000</v>
      </c>
      <c r="L15" s="36" t="n">
        <v>300000</v>
      </c>
      <c r="M15" s="36" t="n">
        <v>6200000</v>
      </c>
      <c r="N15" s="36" t="n">
        <v>70000</v>
      </c>
      <c r="O15" s="14">
        <f>IFERROR((J15*VLOOKUP($F15,'Claude Prices'!$A$5:$G$22,3,FALSE)+K15*VLOOKUP($F15,'Claude Prices'!$A$5:$G$22,4,FALSE)+L15*VLOOKUP($F15,'Claude Prices'!$A$5:$G$22,5,FALSE)+M15*VLOOKUP($F15,'Claude Prices'!$A$5:$G$22,6,FALSE)+N15*VLOOKUP($F15,'Claude Prices'!$A$5:$G$22,7,FALSE))/1000000,0)</f>
        <v/>
      </c>
      <c r="P15" s="14">
        <f>O15*ClaudeFxRate</f>
        <v/>
      </c>
    </row>
    <row r="16">
      <c r="A16" t="inlineStr">
        <is>
          <t>story</t>
        </is>
      </c>
      <c r="B16" t="inlineStr">
        <is>
          <t>FAL-21</t>
        </is>
      </c>
      <c r="C16" t="inlineStr">
        <is>
          <t>2.1</t>
        </is>
      </c>
      <c r="D16" t="inlineStr">
        <is>
          <t>Review queue</t>
        </is>
      </c>
      <c r="E16" t="inlineStr">
        <is>
          <t>claude-sonnet-5</t>
        </is>
      </c>
      <c r="F16" t="inlineStr">
        <is>
          <t>claude-sonnet-5</t>
        </is>
      </c>
      <c r="G16" s="38" t="n">
        <v>46133.375</v>
      </c>
      <c r="H16" s="38" t="n">
        <v>46154.70833333334</v>
      </c>
      <c r="I16" s="36" t="n">
        <v>289</v>
      </c>
      <c r="J16" s="36" t="n">
        <v>54000</v>
      </c>
      <c r="K16" s="36" t="n">
        <v>690000</v>
      </c>
      <c r="L16" s="36" t="n">
        <v>2900000</v>
      </c>
      <c r="M16" s="36" t="n">
        <v>46300000</v>
      </c>
      <c r="N16" s="36" t="n">
        <v>710000</v>
      </c>
      <c r="O16" s="14">
        <f>IFERROR((J16*VLOOKUP($F16,'Claude Prices'!$A$5:$G$22,3,FALSE)+K16*VLOOKUP($F16,'Claude Prices'!$A$5:$G$22,4,FALSE)+L16*VLOOKUP($F16,'Claude Prices'!$A$5:$G$22,5,FALSE)+M16*VLOOKUP($F16,'Claude Prices'!$A$5:$G$22,6,FALSE)+N16*VLOOKUP($F16,'Claude Prices'!$A$5:$G$22,7,FALSE))/1000000,0)</f>
        <v/>
      </c>
      <c r="P16" s="14">
        <f>O16*ClaudeFxRate</f>
        <v/>
      </c>
    </row>
    <row r="17">
      <c r="A17" t="inlineStr">
        <is>
          <t>story</t>
        </is>
      </c>
      <c r="B17" t="inlineStr">
        <is>
          <t>FAL-22</t>
        </is>
      </c>
      <c r="C17" t="inlineStr">
        <is>
          <t>2.2</t>
        </is>
      </c>
      <c r="D17" t="inlineStr">
        <is>
          <t>Approve or reject</t>
        </is>
      </c>
      <c r="E17" t="inlineStr">
        <is>
          <t>claude-sonnet-5</t>
        </is>
      </c>
      <c r="F17" t="inlineStr">
        <is>
          <t>claude-sonnet-5</t>
        </is>
      </c>
      <c r="G17" s="38" t="n">
        <v>46155.375</v>
      </c>
      <c r="H17" s="38" t="n">
        <v>46176.70833333334</v>
      </c>
      <c r="I17" s="36" t="n">
        <v>231</v>
      </c>
      <c r="J17" s="36" t="n">
        <v>43000</v>
      </c>
      <c r="K17" s="36" t="n">
        <v>560000</v>
      </c>
      <c r="L17" s="36" t="n">
        <v>2300000</v>
      </c>
      <c r="M17" s="36" t="n">
        <v>37000000</v>
      </c>
      <c r="N17" s="36" t="n">
        <v>570000</v>
      </c>
      <c r="O17" s="14">
        <f>IFERROR((J17*VLOOKUP($F17,'Claude Prices'!$A$5:$G$22,3,FALSE)+K17*VLOOKUP($F17,'Claude Prices'!$A$5:$G$22,4,FALSE)+L17*VLOOKUP($F17,'Claude Prices'!$A$5:$G$22,5,FALSE)+M17*VLOOKUP($F17,'Claude Prices'!$A$5:$G$22,6,FALSE)+N17*VLOOKUP($F17,'Claude Prices'!$A$5:$G$22,7,FALSE))/1000000,0)</f>
        <v/>
      </c>
      <c r="P17" s="14">
        <f>O17*ClaudeFxRate</f>
        <v/>
      </c>
    </row>
    <row r="18">
      <c r="A18" t="inlineStr">
        <is>
          <t>story</t>
        </is>
      </c>
      <c r="B18" t="inlineStr">
        <is>
          <t>FAL-23</t>
        </is>
      </c>
      <c r="C18" t="inlineStr">
        <is>
          <t>2.3</t>
        </is>
      </c>
      <c r="D18" t="inlineStr">
        <is>
          <t>Notify the customer</t>
        </is>
      </c>
      <c r="E18" t="inlineStr">
        <is>
          <t>claude-sonnet-5</t>
        </is>
      </c>
      <c r="F18" t="inlineStr">
        <is>
          <t>claude-sonnet-5</t>
        </is>
      </c>
      <c r="G18" s="38" t="n">
        <v>46177.375</v>
      </c>
      <c r="H18" s="38" t="n">
        <v>46199.70833333334</v>
      </c>
      <c r="I18" s="36" t="n">
        <v>174</v>
      </c>
      <c r="J18" s="36" t="n">
        <v>32000</v>
      </c>
      <c r="K18" s="36" t="n">
        <v>420000</v>
      </c>
      <c r="L18" s="36" t="n">
        <v>1700000</v>
      </c>
      <c r="M18" s="36" t="n">
        <v>27800000</v>
      </c>
      <c r="N18" s="36" t="n">
        <v>430000</v>
      </c>
      <c r="O18" s="14">
        <f>IFERROR((J18*VLOOKUP($F18,'Claude Prices'!$A$5:$G$22,3,FALSE)+K18*VLOOKUP($F18,'Claude Prices'!$A$5:$G$22,4,FALSE)+L18*VLOOKUP($F18,'Claude Prices'!$A$5:$G$22,5,FALSE)+M18*VLOOKUP($F18,'Claude Prices'!$A$5:$G$22,6,FALSE)+N18*VLOOKUP($F18,'Claude Prices'!$A$5:$G$22,7,FALSE))/1000000,0)</f>
        <v/>
      </c>
      <c r="P18" s="14">
        <f>O18*ClaudeFxRate</f>
        <v/>
      </c>
    </row>
    <row r="19">
      <c r="A19" t="inlineStr">
        <is>
          <t>ops</t>
        </is>
      </c>
      <c r="B19" t="inlineStr">
        <is>
          <t>merges, promotions &amp; deploys</t>
        </is>
      </c>
      <c r="C19" t="inlineStr"/>
      <c r="D19" t="inlineStr"/>
      <c r="E19" t="inlineStr">
        <is>
          <t>claude-haiku-4-5-20251001</t>
        </is>
      </c>
      <c r="F19" t="inlineStr">
        <is>
          <t>claude-haiku-4-5</t>
        </is>
      </c>
      <c r="G19" s="38" t="n">
        <v>46083.375</v>
      </c>
      <c r="H19" s="38" t="n">
        <v>46199.70833333334</v>
      </c>
      <c r="I19" s="36" t="n">
        <v>133</v>
      </c>
      <c r="J19" s="36" t="n">
        <v>25000</v>
      </c>
      <c r="K19" s="36" t="n">
        <v>110000</v>
      </c>
      <c r="L19" s="36" t="n">
        <v>420000</v>
      </c>
      <c r="M19" s="36" t="n">
        <v>8600000</v>
      </c>
      <c r="N19" s="36" t="n">
        <v>95000</v>
      </c>
      <c r="O19" s="14">
        <f>IFERROR((J19*VLOOKUP($F19,'Claude Prices'!$A$5:$G$22,3,FALSE)+K19*VLOOKUP($F19,'Claude Prices'!$A$5:$G$22,4,FALSE)+L19*VLOOKUP($F19,'Claude Prices'!$A$5:$G$22,5,FALSE)+M19*VLOOKUP($F19,'Claude Prices'!$A$5:$G$22,6,FALSE)+N19*VLOOKUP($F19,'Claude Prices'!$A$5:$G$22,7,FALSE))/1000000,0)</f>
        <v/>
      </c>
      <c r="P19" s="14">
        <f>O19*ClaudeFxRate</f>
        <v/>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O233"/>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30" customWidth="1" min="3" max="3"/>
    <col width="9" customWidth="1" min="4" max="4"/>
    <col width="30" customWidth="1" min="5" max="5"/>
    <col width="26" customWidth="1" min="6" max="6"/>
    <col width="22" customWidth="1" min="7" max="7"/>
    <col width="9" customWidth="1" min="8" max="8"/>
    <col width="14" customWidth="1" min="9" max="9"/>
    <col width="14" customWidth="1" min="10" max="10"/>
    <col width="14" customWidth="1" min="11" max="11"/>
    <col width="16" customWidth="1" min="12" max="12"/>
    <col width="14" customWidth="1" min="13" max="13"/>
    <col width="14" customWidth="1" min="14" max="14"/>
    <col width="14" customWidth="1" min="15" max="15"/>
  </cols>
  <sheetData>
    <row r="1">
      <c r="A1" s="1" t="inlineStr">
        <is>
          <t>Claude API usage by day</t>
        </is>
      </c>
    </row>
    <row r="2">
      <c r="A2" t="inlineStr">
        <is>
          <t>From the token ledger (claude_usage_daily.csv, refreshed after every turn). Cost = tokens x the Claude Prices sheet; models with no price cost 0.</t>
        </is>
      </c>
    </row>
    <row r="4">
      <c r="A4" s="3" t="inlineStr">
        <is>
          <t>Day</t>
        </is>
      </c>
      <c r="B4" s="3" t="inlineStr">
        <is>
          <t>Kind</t>
        </is>
      </c>
      <c r="C4" s="3" t="inlineStr">
        <is>
          <t>Work item</t>
        </is>
      </c>
      <c r="D4" s="3" t="inlineStr">
        <is>
          <t>Story no</t>
        </is>
      </c>
      <c r="E4" s="3" t="inlineStr">
        <is>
          <t>Title</t>
        </is>
      </c>
      <c r="F4" s="3" t="inlineStr">
        <is>
          <t>Model</t>
        </is>
      </c>
      <c r="G4" s="3" t="inlineStr">
        <is>
          <t>Pricing model</t>
        </is>
      </c>
      <c r="H4" s="3" t="inlineStr">
        <is>
          <t>Calls</t>
        </is>
      </c>
      <c r="I4" s="3" t="inlineStr">
        <is>
          <t>Input tokens</t>
        </is>
      </c>
      <c r="J4" s="3" t="inlineStr">
        <is>
          <t>Cache write 5m tokens</t>
        </is>
      </c>
      <c r="K4" s="3" t="inlineStr">
        <is>
          <t>Cache write 1h tokens</t>
        </is>
      </c>
      <c r="L4" s="3" t="inlineStr">
        <is>
          <t>Cache read tokens</t>
        </is>
      </c>
      <c r="M4" s="3" t="inlineStr">
        <is>
          <t>Output tokens</t>
        </is>
      </c>
      <c r="N4" s="3" t="inlineStr">
        <is>
          <t>Cost (USD)</t>
        </is>
      </c>
      <c r="O4" s="3" t="inlineStr">
        <is>
          <t>Cost (USD)</t>
        </is>
      </c>
    </row>
    <row r="5">
      <c r="A5" s="26" t="n">
        <v>46027</v>
      </c>
      <c r="B5" t="inlineStr">
        <is>
          <t>planning</t>
        </is>
      </c>
      <c r="C5" t="inlineStr">
        <is>
          <t>brainstorming</t>
        </is>
      </c>
      <c r="D5" t="inlineStr"/>
      <c r="E5" t="inlineStr"/>
      <c r="F5" t="inlineStr">
        <is>
          <t>claude-opus-5-5</t>
        </is>
      </c>
      <c r="G5" t="inlineStr">
        <is>
          <t>claude-opus-5-5</t>
        </is>
      </c>
      <c r="H5" s="36" t="n">
        <v>42</v>
      </c>
      <c r="I5" s="36" t="n">
        <v>9000</v>
      </c>
      <c r="J5" s="36" t="n">
        <v>120000</v>
      </c>
      <c r="K5" s="36" t="n">
        <v>380000</v>
      </c>
      <c r="L5" s="36" t="n">
        <v>6100000</v>
      </c>
      <c r="M5" s="36" t="n">
        <v>95000</v>
      </c>
      <c r="N5" s="14">
        <f>IFERROR((I5*VLOOKUP($G5,'Claude Prices'!$A$5:$G$22,3,FALSE)+J5*VLOOKUP($G5,'Claude Prices'!$A$5:$G$22,4,FALSE)+K5*VLOOKUP($G5,'Claude Prices'!$A$5:$G$22,5,FALSE)+L5*VLOOKUP($G5,'Claude Prices'!$A$5:$G$22,6,FALSE)+M5*VLOOKUP($G5,'Claude Prices'!$A$5:$G$22,7,FALSE))/1000000,0)</f>
        <v/>
      </c>
      <c r="O5" s="14">
        <f>N5*ClaudeFxRate</f>
        <v/>
      </c>
    </row>
    <row r="6">
      <c r="A6" s="26" t="n">
        <v>46028</v>
      </c>
      <c r="B6" t="inlineStr">
        <is>
          <t>planning</t>
        </is>
      </c>
      <c r="C6" t="inlineStr">
        <is>
          <t>spec</t>
        </is>
      </c>
      <c r="D6" t="inlineStr"/>
      <c r="E6" t="inlineStr"/>
      <c r="F6" t="inlineStr">
        <is>
          <t>claude-opus-5-5</t>
        </is>
      </c>
      <c r="G6" t="inlineStr">
        <is>
          <t>claude-opus-5-5</t>
        </is>
      </c>
      <c r="H6" s="36" t="n">
        <v>39</v>
      </c>
      <c r="I6" s="36" t="n">
        <v>7000</v>
      </c>
      <c r="J6" s="36" t="n">
        <v>100000</v>
      </c>
      <c r="K6" s="36" t="n">
        <v>416666</v>
      </c>
      <c r="L6" s="36" t="n">
        <v>7133333</v>
      </c>
      <c r="M6" s="36" t="n">
        <v>103333</v>
      </c>
      <c r="N6" s="14">
        <f>IFERROR((I6*VLOOKUP($G6,'Claude Prices'!$A$5:$G$22,3,FALSE)+J6*VLOOKUP($G6,'Claude Prices'!$A$5:$G$22,4,FALSE)+K6*VLOOKUP($G6,'Claude Prices'!$A$5:$G$22,5,FALSE)+L6*VLOOKUP($G6,'Claude Prices'!$A$5:$G$22,6,FALSE)+M6*VLOOKUP($G6,'Claude Prices'!$A$5:$G$22,7,FALSE))/1000000,0)</f>
        <v/>
      </c>
      <c r="O6" s="14">
        <f>N6*ClaudeFxRate</f>
        <v/>
      </c>
    </row>
    <row r="7">
      <c r="A7" s="26" t="n">
        <v>46029</v>
      </c>
      <c r="B7" t="inlineStr">
        <is>
          <t>planning</t>
        </is>
      </c>
      <c r="C7" t="inlineStr">
        <is>
          <t>spec</t>
        </is>
      </c>
      <c r="D7" t="inlineStr"/>
      <c r="E7" t="inlineStr"/>
      <c r="F7" t="inlineStr">
        <is>
          <t>claude-opus-5-5</t>
        </is>
      </c>
      <c r="G7" t="inlineStr">
        <is>
          <t>claude-opus-5-5</t>
        </is>
      </c>
      <c r="H7" s="36" t="n">
        <v>39</v>
      </c>
      <c r="I7" s="36" t="n">
        <v>7000</v>
      </c>
      <c r="J7" s="36" t="n">
        <v>100000</v>
      </c>
      <c r="K7" s="36" t="n">
        <v>416666</v>
      </c>
      <c r="L7" s="36" t="n">
        <v>7133333</v>
      </c>
      <c r="M7" s="36" t="n">
        <v>103333</v>
      </c>
      <c r="N7" s="14">
        <f>IFERROR((I7*VLOOKUP($G7,'Claude Prices'!$A$5:$G$22,3,FALSE)+J7*VLOOKUP($G7,'Claude Prices'!$A$5:$G$22,4,FALSE)+K7*VLOOKUP($G7,'Claude Prices'!$A$5:$G$22,5,FALSE)+L7*VLOOKUP($G7,'Claude Prices'!$A$5:$G$22,6,FALSE)+M7*VLOOKUP($G7,'Claude Prices'!$A$5:$G$22,7,FALSE))/1000000,0)</f>
        <v/>
      </c>
      <c r="O7" s="14">
        <f>N7*ClaudeFxRate</f>
        <v/>
      </c>
    </row>
    <row r="8">
      <c r="A8" s="26" t="n">
        <v>46030</v>
      </c>
      <c r="B8" t="inlineStr">
        <is>
          <t>planning</t>
        </is>
      </c>
      <c r="C8" t="inlineStr">
        <is>
          <t>spec</t>
        </is>
      </c>
      <c r="D8" t="inlineStr"/>
      <c r="E8" t="inlineStr"/>
      <c r="F8" t="inlineStr">
        <is>
          <t>claude-opus-5-5</t>
        </is>
      </c>
      <c r="G8" t="inlineStr">
        <is>
          <t>claude-opus-5-5</t>
        </is>
      </c>
      <c r="H8" s="36" t="n">
        <v>40</v>
      </c>
      <c r="I8" s="36" t="n">
        <v>7000</v>
      </c>
      <c r="J8" s="36" t="n">
        <v>100000</v>
      </c>
      <c r="K8" s="36" t="n">
        <v>416668</v>
      </c>
      <c r="L8" s="36" t="n">
        <v>7133334</v>
      </c>
      <c r="M8" s="36" t="n">
        <v>103334</v>
      </c>
      <c r="N8" s="14">
        <f>IFERROR((I8*VLOOKUP($G8,'Claude Prices'!$A$5:$G$22,3,FALSE)+J8*VLOOKUP($G8,'Claude Prices'!$A$5:$G$22,4,FALSE)+K8*VLOOKUP($G8,'Claude Prices'!$A$5:$G$22,5,FALSE)+L8*VLOOKUP($G8,'Claude Prices'!$A$5:$G$22,6,FALSE)+M8*VLOOKUP($G8,'Claude Prices'!$A$5:$G$22,7,FALSE))/1000000,0)</f>
        <v/>
      </c>
      <c r="O8" s="14">
        <f>N8*ClaudeFxRate</f>
        <v/>
      </c>
    </row>
    <row r="9">
      <c r="A9" s="26" t="n">
        <v>46034</v>
      </c>
      <c r="B9" t="inlineStr">
        <is>
          <t>planning</t>
        </is>
      </c>
      <c r="C9" t="inlineStr">
        <is>
          <t>architecture</t>
        </is>
      </c>
      <c r="D9" t="inlineStr"/>
      <c r="E9" t="inlineStr"/>
      <c r="F9" t="inlineStr">
        <is>
          <t>claude-opus-5-5</t>
        </is>
      </c>
      <c r="G9" t="inlineStr">
        <is>
          <t>claude-opus-5-5</t>
        </is>
      </c>
      <c r="H9" s="36" t="n">
        <v>39</v>
      </c>
      <c r="I9" s="36" t="n">
        <v>7111</v>
      </c>
      <c r="J9" s="36" t="n">
        <v>91111</v>
      </c>
      <c r="K9" s="36" t="n">
        <v>433333</v>
      </c>
      <c r="L9" s="36" t="n">
        <v>7577777</v>
      </c>
      <c r="M9" s="36" t="n">
        <v>100555</v>
      </c>
      <c r="N9" s="14">
        <f>IFERROR((I9*VLOOKUP($G9,'Claude Prices'!$A$5:$G$22,3,FALSE)+J9*VLOOKUP($G9,'Claude Prices'!$A$5:$G$22,4,FALSE)+K9*VLOOKUP($G9,'Claude Prices'!$A$5:$G$22,5,FALSE)+L9*VLOOKUP($G9,'Claude Prices'!$A$5:$G$22,6,FALSE)+M9*VLOOKUP($G9,'Claude Prices'!$A$5:$G$22,7,FALSE))/1000000,0)</f>
        <v/>
      </c>
      <c r="O9" s="14">
        <f>N9*ClaudeFxRate</f>
        <v/>
      </c>
    </row>
    <row r="10">
      <c r="A10" s="26" t="n">
        <v>46035</v>
      </c>
      <c r="B10" t="inlineStr">
        <is>
          <t>planning</t>
        </is>
      </c>
      <c r="C10" t="inlineStr">
        <is>
          <t>architecture</t>
        </is>
      </c>
      <c r="D10" t="inlineStr"/>
      <c r="E10" t="inlineStr"/>
      <c r="F10" t="inlineStr">
        <is>
          <t>claude-opus-5-5</t>
        </is>
      </c>
      <c r="G10" t="inlineStr">
        <is>
          <t>claude-opus-5-5</t>
        </is>
      </c>
      <c r="H10" s="36" t="n">
        <v>39</v>
      </c>
      <c r="I10" s="36" t="n">
        <v>7111</v>
      </c>
      <c r="J10" s="36" t="n">
        <v>91111</v>
      </c>
      <c r="K10" s="36" t="n">
        <v>433333</v>
      </c>
      <c r="L10" s="36" t="n">
        <v>7577777</v>
      </c>
      <c r="M10" s="36" t="n">
        <v>100555</v>
      </c>
      <c r="N10" s="14">
        <f>IFERROR((I10*VLOOKUP($G10,'Claude Prices'!$A$5:$G$22,3,FALSE)+J10*VLOOKUP($G10,'Claude Prices'!$A$5:$G$22,4,FALSE)+K10*VLOOKUP($G10,'Claude Prices'!$A$5:$G$22,5,FALSE)+L10*VLOOKUP($G10,'Claude Prices'!$A$5:$G$22,6,FALSE)+M10*VLOOKUP($G10,'Claude Prices'!$A$5:$G$22,7,FALSE))/1000000,0)</f>
        <v/>
      </c>
      <c r="O10" s="14">
        <f>N10*ClaudeFxRate</f>
        <v/>
      </c>
    </row>
    <row r="11">
      <c r="A11" s="26" t="n">
        <v>46036</v>
      </c>
      <c r="B11" t="inlineStr">
        <is>
          <t>planning</t>
        </is>
      </c>
      <c r="C11" t="inlineStr">
        <is>
          <t>architecture</t>
        </is>
      </c>
      <c r="D11" t="inlineStr"/>
      <c r="E11" t="inlineStr"/>
      <c r="F11" t="inlineStr">
        <is>
          <t>claude-opus-5-5</t>
        </is>
      </c>
      <c r="G11" t="inlineStr">
        <is>
          <t>claude-opus-5-5</t>
        </is>
      </c>
      <c r="H11" s="36" t="n">
        <v>39</v>
      </c>
      <c r="I11" s="36" t="n">
        <v>7111</v>
      </c>
      <c r="J11" s="36" t="n">
        <v>91111</v>
      </c>
      <c r="K11" s="36" t="n">
        <v>433333</v>
      </c>
      <c r="L11" s="36" t="n">
        <v>7577777</v>
      </c>
      <c r="M11" s="36" t="n">
        <v>100555</v>
      </c>
      <c r="N11" s="14">
        <f>IFERROR((I11*VLOOKUP($G11,'Claude Prices'!$A$5:$G$22,3,FALSE)+J11*VLOOKUP($G11,'Claude Prices'!$A$5:$G$22,4,FALSE)+K11*VLOOKUP($G11,'Claude Prices'!$A$5:$G$22,5,FALSE)+L11*VLOOKUP($G11,'Claude Prices'!$A$5:$G$22,6,FALSE)+M11*VLOOKUP($G11,'Claude Prices'!$A$5:$G$22,7,FALSE))/1000000,0)</f>
        <v/>
      </c>
      <c r="O11" s="14">
        <f>N11*ClaudeFxRate</f>
        <v/>
      </c>
    </row>
    <row r="12">
      <c r="A12" s="26" t="n">
        <v>46037</v>
      </c>
      <c r="B12" t="inlineStr">
        <is>
          <t>planning</t>
        </is>
      </c>
      <c r="C12" t="inlineStr">
        <is>
          <t>architecture</t>
        </is>
      </c>
      <c r="D12" t="inlineStr"/>
      <c r="E12" t="inlineStr"/>
      <c r="F12" t="inlineStr">
        <is>
          <t>claude-opus-5-5</t>
        </is>
      </c>
      <c r="G12" t="inlineStr">
        <is>
          <t>claude-opus-5-5</t>
        </is>
      </c>
      <c r="H12" s="36" t="n">
        <v>39</v>
      </c>
      <c r="I12" s="36" t="n">
        <v>7111</v>
      </c>
      <c r="J12" s="36" t="n">
        <v>91111</v>
      </c>
      <c r="K12" s="36" t="n">
        <v>433333</v>
      </c>
      <c r="L12" s="36" t="n">
        <v>7577777</v>
      </c>
      <c r="M12" s="36" t="n">
        <v>100555</v>
      </c>
      <c r="N12" s="14">
        <f>IFERROR((I12*VLOOKUP($G12,'Claude Prices'!$A$5:$G$22,3,FALSE)+J12*VLOOKUP($G12,'Claude Prices'!$A$5:$G$22,4,FALSE)+K12*VLOOKUP($G12,'Claude Prices'!$A$5:$G$22,5,FALSE)+L12*VLOOKUP($G12,'Claude Prices'!$A$5:$G$22,6,FALSE)+M12*VLOOKUP($G12,'Claude Prices'!$A$5:$G$22,7,FALSE))/1000000,0)</f>
        <v/>
      </c>
      <c r="O12" s="14">
        <f>N12*ClaudeFxRate</f>
        <v/>
      </c>
    </row>
    <row r="13">
      <c r="A13" s="26" t="n">
        <v>46038</v>
      </c>
      <c r="B13" t="inlineStr">
        <is>
          <t>planning</t>
        </is>
      </c>
      <c r="C13" t="inlineStr">
        <is>
          <t>architecture</t>
        </is>
      </c>
      <c r="D13" t="inlineStr"/>
      <c r="E13" t="inlineStr"/>
      <c r="F13" t="inlineStr">
        <is>
          <t>claude-opus-5-5</t>
        </is>
      </c>
      <c r="G13" t="inlineStr">
        <is>
          <t>claude-opus-5-5</t>
        </is>
      </c>
      <c r="H13" s="36" t="n">
        <v>39</v>
      </c>
      <c r="I13" s="36" t="n">
        <v>7111</v>
      </c>
      <c r="J13" s="36" t="n">
        <v>91111</v>
      </c>
      <c r="K13" s="36" t="n">
        <v>433333</v>
      </c>
      <c r="L13" s="36" t="n">
        <v>7577777</v>
      </c>
      <c r="M13" s="36" t="n">
        <v>100555</v>
      </c>
      <c r="N13" s="14">
        <f>IFERROR((I13*VLOOKUP($G13,'Claude Prices'!$A$5:$G$22,3,FALSE)+J13*VLOOKUP($G13,'Claude Prices'!$A$5:$G$22,4,FALSE)+K13*VLOOKUP($G13,'Claude Prices'!$A$5:$G$22,5,FALSE)+L13*VLOOKUP($G13,'Claude Prices'!$A$5:$G$22,6,FALSE)+M13*VLOOKUP($G13,'Claude Prices'!$A$5:$G$22,7,FALSE))/1000000,0)</f>
        <v/>
      </c>
      <c r="O13" s="14">
        <f>N13*ClaudeFxRate</f>
        <v/>
      </c>
    </row>
    <row r="14">
      <c r="A14" s="26" t="n">
        <v>46041</v>
      </c>
      <c r="B14" t="inlineStr">
        <is>
          <t>planning</t>
        </is>
      </c>
      <c r="C14" t="inlineStr">
        <is>
          <t>UX design</t>
        </is>
      </c>
      <c r="D14" t="inlineStr"/>
      <c r="E14" t="inlineStr"/>
      <c r="F14" t="inlineStr">
        <is>
          <t>claude-sonnet-5</t>
        </is>
      </c>
      <c r="G14" t="inlineStr">
        <is>
          <t>claude-sonnet-5</t>
        </is>
      </c>
      <c r="H14" s="36" t="n">
        <v>32</v>
      </c>
      <c r="I14" s="36" t="n">
        <v>6000</v>
      </c>
      <c r="J14" s="36" t="n">
        <v>82000</v>
      </c>
      <c r="K14" s="36" t="n">
        <v>300000</v>
      </c>
      <c r="L14" s="36" t="n">
        <v>4960000</v>
      </c>
      <c r="M14" s="36" t="n">
        <v>84000</v>
      </c>
      <c r="N14" s="14">
        <f>IFERROR((I14*VLOOKUP($G14,'Claude Prices'!$A$5:$G$22,3,FALSE)+J14*VLOOKUP($G14,'Claude Prices'!$A$5:$G$22,4,FALSE)+K14*VLOOKUP($G14,'Claude Prices'!$A$5:$G$22,5,FALSE)+L14*VLOOKUP($G14,'Claude Prices'!$A$5:$G$22,6,FALSE)+M14*VLOOKUP($G14,'Claude Prices'!$A$5:$G$22,7,FALSE))/1000000,0)</f>
        <v/>
      </c>
      <c r="O14" s="14">
        <f>N14*ClaudeFxRate</f>
        <v/>
      </c>
    </row>
    <row r="15">
      <c r="A15" s="26" t="n">
        <v>46041</v>
      </c>
      <c r="B15" t="inlineStr">
        <is>
          <t>planning</t>
        </is>
      </c>
      <c r="C15" t="inlineStr">
        <is>
          <t>architecture</t>
        </is>
      </c>
      <c r="D15" t="inlineStr"/>
      <c r="E15" t="inlineStr"/>
      <c r="F15" t="inlineStr">
        <is>
          <t>claude-opus-5-5</t>
        </is>
      </c>
      <c r="G15" t="inlineStr">
        <is>
          <t>claude-opus-5-5</t>
        </is>
      </c>
      <c r="H15" s="36" t="n">
        <v>39</v>
      </c>
      <c r="I15" s="36" t="n">
        <v>7111</v>
      </c>
      <c r="J15" s="36" t="n">
        <v>91111</v>
      </c>
      <c r="K15" s="36" t="n">
        <v>433333</v>
      </c>
      <c r="L15" s="36" t="n">
        <v>7577777</v>
      </c>
      <c r="M15" s="36" t="n">
        <v>100555</v>
      </c>
      <c r="N15" s="14">
        <f>IFERROR((I15*VLOOKUP($G15,'Claude Prices'!$A$5:$G$22,3,FALSE)+J15*VLOOKUP($G15,'Claude Prices'!$A$5:$G$22,4,FALSE)+K15*VLOOKUP($G15,'Claude Prices'!$A$5:$G$22,5,FALSE)+L15*VLOOKUP($G15,'Claude Prices'!$A$5:$G$22,6,FALSE)+M15*VLOOKUP($G15,'Claude Prices'!$A$5:$G$22,7,FALSE))/1000000,0)</f>
        <v/>
      </c>
      <c r="O15" s="14">
        <f>N15*ClaudeFxRate</f>
        <v/>
      </c>
    </row>
    <row r="16">
      <c r="A16" s="26" t="n">
        <v>46042</v>
      </c>
      <c r="B16" t="inlineStr">
        <is>
          <t>planning</t>
        </is>
      </c>
      <c r="C16" t="inlineStr">
        <is>
          <t>UX design</t>
        </is>
      </c>
      <c r="D16" t="inlineStr"/>
      <c r="E16" t="inlineStr"/>
      <c r="F16" t="inlineStr">
        <is>
          <t>claude-sonnet-5</t>
        </is>
      </c>
      <c r="G16" t="inlineStr">
        <is>
          <t>claude-sonnet-5</t>
        </is>
      </c>
      <c r="H16" s="36" t="n">
        <v>32</v>
      </c>
      <c r="I16" s="36" t="n">
        <v>6000</v>
      </c>
      <c r="J16" s="36" t="n">
        <v>82000</v>
      </c>
      <c r="K16" s="36" t="n">
        <v>300000</v>
      </c>
      <c r="L16" s="36" t="n">
        <v>4960000</v>
      </c>
      <c r="M16" s="36" t="n">
        <v>84000</v>
      </c>
      <c r="N16" s="14">
        <f>IFERROR((I16*VLOOKUP($G16,'Claude Prices'!$A$5:$G$22,3,FALSE)+J16*VLOOKUP($G16,'Claude Prices'!$A$5:$G$22,4,FALSE)+K16*VLOOKUP($G16,'Claude Prices'!$A$5:$G$22,5,FALSE)+L16*VLOOKUP($G16,'Claude Prices'!$A$5:$G$22,6,FALSE)+M16*VLOOKUP($G16,'Claude Prices'!$A$5:$G$22,7,FALSE))/1000000,0)</f>
        <v/>
      </c>
      <c r="O16" s="14">
        <f>N16*ClaudeFxRate</f>
        <v/>
      </c>
    </row>
    <row r="17">
      <c r="A17" s="26" t="n">
        <v>46042</v>
      </c>
      <c r="B17" t="inlineStr">
        <is>
          <t>planning</t>
        </is>
      </c>
      <c r="C17" t="inlineStr">
        <is>
          <t>architecture</t>
        </is>
      </c>
      <c r="D17" t="inlineStr"/>
      <c r="E17" t="inlineStr"/>
      <c r="F17" t="inlineStr">
        <is>
          <t>claude-opus-5-5</t>
        </is>
      </c>
      <c r="G17" t="inlineStr">
        <is>
          <t>claude-opus-5-5</t>
        </is>
      </c>
      <c r="H17" s="36" t="n">
        <v>39</v>
      </c>
      <c r="I17" s="36" t="n">
        <v>7111</v>
      </c>
      <c r="J17" s="36" t="n">
        <v>91111</v>
      </c>
      <c r="K17" s="36" t="n">
        <v>433333</v>
      </c>
      <c r="L17" s="36" t="n">
        <v>7577777</v>
      </c>
      <c r="M17" s="36" t="n">
        <v>100555</v>
      </c>
      <c r="N17" s="14">
        <f>IFERROR((I17*VLOOKUP($G17,'Claude Prices'!$A$5:$G$22,3,FALSE)+J17*VLOOKUP($G17,'Claude Prices'!$A$5:$G$22,4,FALSE)+K17*VLOOKUP($G17,'Claude Prices'!$A$5:$G$22,5,FALSE)+L17*VLOOKUP($G17,'Claude Prices'!$A$5:$G$22,6,FALSE)+M17*VLOOKUP($G17,'Claude Prices'!$A$5:$G$22,7,FALSE))/1000000,0)</f>
        <v/>
      </c>
      <c r="O17" s="14">
        <f>N17*ClaudeFxRate</f>
        <v/>
      </c>
    </row>
    <row r="18">
      <c r="A18" s="26" t="n">
        <v>46042</v>
      </c>
      <c r="B18" t="inlineStr">
        <is>
          <t>planning</t>
        </is>
      </c>
      <c r="C18" t="inlineStr">
        <is>
          <t>architecture docs (Da Vinci)</t>
        </is>
      </c>
      <c r="D18" t="inlineStr"/>
      <c r="E18" t="inlineStr"/>
      <c r="F18" t="inlineStr">
        <is>
          <t>claude-opus-5-5</t>
        </is>
      </c>
      <c r="G18" t="inlineStr">
        <is>
          <t>claude-opus-5-5</t>
        </is>
      </c>
      <c r="H18" s="36" t="n">
        <v>20</v>
      </c>
      <c r="I18" s="36" t="n">
        <v>3666</v>
      </c>
      <c r="J18" s="36" t="n">
        <v>50000</v>
      </c>
      <c r="K18" s="36" t="n">
        <v>173333</v>
      </c>
      <c r="L18" s="36" t="n">
        <v>2900000</v>
      </c>
      <c r="M18" s="36" t="n">
        <v>46666</v>
      </c>
      <c r="N18" s="14">
        <f>IFERROR((I18*VLOOKUP($G18,'Claude Prices'!$A$5:$G$22,3,FALSE)+J18*VLOOKUP($G18,'Claude Prices'!$A$5:$G$22,4,FALSE)+K18*VLOOKUP($G18,'Claude Prices'!$A$5:$G$22,5,FALSE)+L18*VLOOKUP($G18,'Claude Prices'!$A$5:$G$22,6,FALSE)+M18*VLOOKUP($G18,'Claude Prices'!$A$5:$G$22,7,FALSE))/1000000,0)</f>
        <v/>
      </c>
      <c r="O18" s="14">
        <f>N18*ClaudeFxRate</f>
        <v/>
      </c>
    </row>
    <row r="19">
      <c r="A19" s="26" t="n">
        <v>46042</v>
      </c>
      <c r="B19" t="inlineStr">
        <is>
          <t>planning</t>
        </is>
      </c>
      <c r="C19" t="inlineStr">
        <is>
          <t>governance (Jules)</t>
        </is>
      </c>
      <c r="D19" t="inlineStr"/>
      <c r="E19" t="inlineStr"/>
      <c r="F19" t="inlineStr">
        <is>
          <t>claude-opus-5-5</t>
        </is>
      </c>
      <c r="G19" t="inlineStr">
        <is>
          <t>claude-opus-5-5</t>
        </is>
      </c>
      <c r="H19" s="36" t="n">
        <v>3</v>
      </c>
      <c r="I19" s="36" t="n">
        <v>625</v>
      </c>
      <c r="J19" s="36" t="n">
        <v>8750</v>
      </c>
      <c r="K19" s="36" t="n">
        <v>31666</v>
      </c>
      <c r="L19" s="36" t="n">
        <v>520833</v>
      </c>
      <c r="M19" s="36" t="n">
        <v>7500</v>
      </c>
      <c r="N19" s="14">
        <f>IFERROR((I19*VLOOKUP($G19,'Claude Prices'!$A$5:$G$22,3,FALSE)+J19*VLOOKUP($G19,'Claude Prices'!$A$5:$G$22,4,FALSE)+K19*VLOOKUP($G19,'Claude Prices'!$A$5:$G$22,5,FALSE)+L19*VLOOKUP($G19,'Claude Prices'!$A$5:$G$22,6,FALSE)+M19*VLOOKUP($G19,'Claude Prices'!$A$5:$G$22,7,FALSE))/1000000,0)</f>
        <v/>
      </c>
      <c r="O19" s="14">
        <f>N19*ClaudeFxRate</f>
        <v/>
      </c>
    </row>
    <row r="20">
      <c r="A20" s="26" t="n">
        <v>46043</v>
      </c>
      <c r="B20" t="inlineStr">
        <is>
          <t>planning</t>
        </is>
      </c>
      <c r="C20" t="inlineStr">
        <is>
          <t>UX design</t>
        </is>
      </c>
      <c r="D20" t="inlineStr"/>
      <c r="E20" t="inlineStr"/>
      <c r="F20" t="inlineStr">
        <is>
          <t>claude-sonnet-5</t>
        </is>
      </c>
      <c r="G20" t="inlineStr">
        <is>
          <t>claude-sonnet-5</t>
        </is>
      </c>
      <c r="H20" s="36" t="n">
        <v>32</v>
      </c>
      <c r="I20" s="36" t="n">
        <v>6000</v>
      </c>
      <c r="J20" s="36" t="n">
        <v>82000</v>
      </c>
      <c r="K20" s="36" t="n">
        <v>300000</v>
      </c>
      <c r="L20" s="36" t="n">
        <v>4960000</v>
      </c>
      <c r="M20" s="36" t="n">
        <v>84000</v>
      </c>
      <c r="N20" s="14">
        <f>IFERROR((I20*VLOOKUP($G20,'Claude Prices'!$A$5:$G$22,3,FALSE)+J20*VLOOKUP($G20,'Claude Prices'!$A$5:$G$22,4,FALSE)+K20*VLOOKUP($G20,'Claude Prices'!$A$5:$G$22,5,FALSE)+L20*VLOOKUP($G20,'Claude Prices'!$A$5:$G$22,6,FALSE)+M20*VLOOKUP($G20,'Claude Prices'!$A$5:$G$22,7,FALSE))/1000000,0)</f>
        <v/>
      </c>
      <c r="O20" s="14">
        <f>N20*ClaudeFxRate</f>
        <v/>
      </c>
    </row>
    <row r="21">
      <c r="A21" s="26" t="n">
        <v>46043</v>
      </c>
      <c r="B21" t="inlineStr">
        <is>
          <t>planning</t>
        </is>
      </c>
      <c r="C21" t="inlineStr">
        <is>
          <t>architecture</t>
        </is>
      </c>
      <c r="D21" t="inlineStr"/>
      <c r="E21" t="inlineStr"/>
      <c r="F21" t="inlineStr">
        <is>
          <t>claude-opus-5-5</t>
        </is>
      </c>
      <c r="G21" t="inlineStr">
        <is>
          <t>claude-opus-5-5</t>
        </is>
      </c>
      <c r="H21" s="36" t="n">
        <v>39</v>
      </c>
      <c r="I21" s="36" t="n">
        <v>7111</v>
      </c>
      <c r="J21" s="36" t="n">
        <v>91111</v>
      </c>
      <c r="K21" s="36" t="n">
        <v>433333</v>
      </c>
      <c r="L21" s="36" t="n">
        <v>7577777</v>
      </c>
      <c r="M21" s="36" t="n">
        <v>100555</v>
      </c>
      <c r="N21" s="14">
        <f>IFERROR((I21*VLOOKUP($G21,'Claude Prices'!$A$5:$G$22,3,FALSE)+J21*VLOOKUP($G21,'Claude Prices'!$A$5:$G$22,4,FALSE)+K21*VLOOKUP($G21,'Claude Prices'!$A$5:$G$22,5,FALSE)+L21*VLOOKUP($G21,'Claude Prices'!$A$5:$G$22,6,FALSE)+M21*VLOOKUP($G21,'Claude Prices'!$A$5:$G$22,7,FALSE))/1000000,0)</f>
        <v/>
      </c>
      <c r="O21" s="14">
        <f>N21*ClaudeFxRate</f>
        <v/>
      </c>
    </row>
    <row r="22">
      <c r="A22" s="26" t="n">
        <v>46043</v>
      </c>
      <c r="B22" t="inlineStr">
        <is>
          <t>planning</t>
        </is>
      </c>
      <c r="C22" t="inlineStr">
        <is>
          <t>architecture docs (Da Vinci)</t>
        </is>
      </c>
      <c r="D22" t="inlineStr"/>
      <c r="E22" t="inlineStr"/>
      <c r="F22" t="inlineStr">
        <is>
          <t>claude-opus-5-5</t>
        </is>
      </c>
      <c r="G22" t="inlineStr">
        <is>
          <t>claude-opus-5-5</t>
        </is>
      </c>
      <c r="H22" s="36" t="n">
        <v>20</v>
      </c>
      <c r="I22" s="36" t="n">
        <v>3666</v>
      </c>
      <c r="J22" s="36" t="n">
        <v>50000</v>
      </c>
      <c r="K22" s="36" t="n">
        <v>173333</v>
      </c>
      <c r="L22" s="36" t="n">
        <v>2900000</v>
      </c>
      <c r="M22" s="36" t="n">
        <v>46666</v>
      </c>
      <c r="N22" s="14">
        <f>IFERROR((I22*VLOOKUP($G22,'Claude Prices'!$A$5:$G$22,3,FALSE)+J22*VLOOKUP($G22,'Claude Prices'!$A$5:$G$22,4,FALSE)+K22*VLOOKUP($G22,'Claude Prices'!$A$5:$G$22,5,FALSE)+L22*VLOOKUP($G22,'Claude Prices'!$A$5:$G$22,6,FALSE)+M22*VLOOKUP($G22,'Claude Prices'!$A$5:$G$22,7,FALSE))/1000000,0)</f>
        <v/>
      </c>
      <c r="O22" s="14">
        <f>N22*ClaudeFxRate</f>
        <v/>
      </c>
    </row>
    <row r="23">
      <c r="A23" s="26" t="n">
        <v>46043</v>
      </c>
      <c r="B23" t="inlineStr">
        <is>
          <t>planning</t>
        </is>
      </c>
      <c r="C23" t="inlineStr">
        <is>
          <t>governance (Jules)</t>
        </is>
      </c>
      <c r="D23" t="inlineStr"/>
      <c r="E23" t="inlineStr"/>
      <c r="F23" t="inlineStr">
        <is>
          <t>claude-opus-5-5</t>
        </is>
      </c>
      <c r="G23" t="inlineStr">
        <is>
          <t>claude-opus-5-5</t>
        </is>
      </c>
      <c r="H23" s="36" t="n">
        <v>3</v>
      </c>
      <c r="I23" s="36" t="n">
        <v>625</v>
      </c>
      <c r="J23" s="36" t="n">
        <v>8750</v>
      </c>
      <c r="K23" s="36" t="n">
        <v>31666</v>
      </c>
      <c r="L23" s="36" t="n">
        <v>520833</v>
      </c>
      <c r="M23" s="36" t="n">
        <v>7500</v>
      </c>
      <c r="N23" s="14">
        <f>IFERROR((I23*VLOOKUP($G23,'Claude Prices'!$A$5:$G$22,3,FALSE)+J23*VLOOKUP($G23,'Claude Prices'!$A$5:$G$22,4,FALSE)+K23*VLOOKUP($G23,'Claude Prices'!$A$5:$G$22,5,FALSE)+L23*VLOOKUP($G23,'Claude Prices'!$A$5:$G$22,6,FALSE)+M23*VLOOKUP($G23,'Claude Prices'!$A$5:$G$22,7,FALSE))/1000000,0)</f>
        <v/>
      </c>
      <c r="O23" s="14">
        <f>N23*ClaudeFxRate</f>
        <v/>
      </c>
    </row>
    <row r="24">
      <c r="A24" s="26" t="n">
        <v>46044</v>
      </c>
      <c r="B24" t="inlineStr">
        <is>
          <t>planning</t>
        </is>
      </c>
      <c r="C24" t="inlineStr">
        <is>
          <t>UX design</t>
        </is>
      </c>
      <c r="D24" t="inlineStr"/>
      <c r="E24" t="inlineStr"/>
      <c r="F24" t="inlineStr">
        <is>
          <t>claude-sonnet-5</t>
        </is>
      </c>
      <c r="G24" t="inlineStr">
        <is>
          <t>claude-sonnet-5</t>
        </is>
      </c>
      <c r="H24" s="36" t="n">
        <v>32</v>
      </c>
      <c r="I24" s="36" t="n">
        <v>6000</v>
      </c>
      <c r="J24" s="36" t="n">
        <v>82000</v>
      </c>
      <c r="K24" s="36" t="n">
        <v>300000</v>
      </c>
      <c r="L24" s="36" t="n">
        <v>4960000</v>
      </c>
      <c r="M24" s="36" t="n">
        <v>84000</v>
      </c>
      <c r="N24" s="14">
        <f>IFERROR((I24*VLOOKUP($G24,'Claude Prices'!$A$5:$G$22,3,FALSE)+J24*VLOOKUP($G24,'Claude Prices'!$A$5:$G$22,4,FALSE)+K24*VLOOKUP($G24,'Claude Prices'!$A$5:$G$22,5,FALSE)+L24*VLOOKUP($G24,'Claude Prices'!$A$5:$G$22,6,FALSE)+M24*VLOOKUP($G24,'Claude Prices'!$A$5:$G$22,7,FALSE))/1000000,0)</f>
        <v/>
      </c>
      <c r="O24" s="14">
        <f>N24*ClaudeFxRate</f>
        <v/>
      </c>
    </row>
    <row r="25">
      <c r="A25" s="26" t="n">
        <v>46044</v>
      </c>
      <c r="B25" t="inlineStr">
        <is>
          <t>planning</t>
        </is>
      </c>
      <c r="C25" t="inlineStr">
        <is>
          <t>architecture</t>
        </is>
      </c>
      <c r="D25" t="inlineStr"/>
      <c r="E25" t="inlineStr"/>
      <c r="F25" t="inlineStr">
        <is>
          <t>claude-opus-5-5</t>
        </is>
      </c>
      <c r="G25" t="inlineStr">
        <is>
          <t>claude-opus-5-5</t>
        </is>
      </c>
      <c r="H25" s="36" t="n">
        <v>44</v>
      </c>
      <c r="I25" s="36" t="n">
        <v>7112</v>
      </c>
      <c r="J25" s="36" t="n">
        <v>91112</v>
      </c>
      <c r="K25" s="36" t="n">
        <v>433336</v>
      </c>
      <c r="L25" s="36" t="n">
        <v>7577784</v>
      </c>
      <c r="M25" s="36" t="n">
        <v>100560</v>
      </c>
      <c r="N25" s="14">
        <f>IFERROR((I25*VLOOKUP($G25,'Claude Prices'!$A$5:$G$22,3,FALSE)+J25*VLOOKUP($G25,'Claude Prices'!$A$5:$G$22,4,FALSE)+K25*VLOOKUP($G25,'Claude Prices'!$A$5:$G$22,5,FALSE)+L25*VLOOKUP($G25,'Claude Prices'!$A$5:$G$22,6,FALSE)+M25*VLOOKUP($G25,'Claude Prices'!$A$5:$G$22,7,FALSE))/1000000,0)</f>
        <v/>
      </c>
      <c r="O25" s="14">
        <f>N25*ClaudeFxRate</f>
        <v/>
      </c>
    </row>
    <row r="26">
      <c r="A26" s="26" t="n">
        <v>46044</v>
      </c>
      <c r="B26" t="inlineStr">
        <is>
          <t>planning</t>
        </is>
      </c>
      <c r="C26" t="inlineStr">
        <is>
          <t>architecture docs (Da Vinci)</t>
        </is>
      </c>
      <c r="D26" t="inlineStr"/>
      <c r="E26" t="inlineStr"/>
      <c r="F26" t="inlineStr">
        <is>
          <t>claude-opus-5-5</t>
        </is>
      </c>
      <c r="G26" t="inlineStr">
        <is>
          <t>claude-opus-5-5</t>
        </is>
      </c>
      <c r="H26" s="36" t="n">
        <v>21</v>
      </c>
      <c r="I26" s="36" t="n">
        <v>3668</v>
      </c>
      <c r="J26" s="36" t="n">
        <v>50000</v>
      </c>
      <c r="K26" s="36" t="n">
        <v>173334</v>
      </c>
      <c r="L26" s="36" t="n">
        <v>2900000</v>
      </c>
      <c r="M26" s="36" t="n">
        <v>46668</v>
      </c>
      <c r="N26" s="14">
        <f>IFERROR((I26*VLOOKUP($G26,'Claude Prices'!$A$5:$G$22,3,FALSE)+J26*VLOOKUP($G26,'Claude Prices'!$A$5:$G$22,4,FALSE)+K26*VLOOKUP($G26,'Claude Prices'!$A$5:$G$22,5,FALSE)+L26*VLOOKUP($G26,'Claude Prices'!$A$5:$G$22,6,FALSE)+M26*VLOOKUP($G26,'Claude Prices'!$A$5:$G$22,7,FALSE))/1000000,0)</f>
        <v/>
      </c>
      <c r="O26" s="14">
        <f>N26*ClaudeFxRate</f>
        <v/>
      </c>
    </row>
    <row r="27">
      <c r="A27" s="26" t="n">
        <v>46044</v>
      </c>
      <c r="B27" t="inlineStr">
        <is>
          <t>planning</t>
        </is>
      </c>
      <c r="C27" t="inlineStr">
        <is>
          <t>governance (Jules)</t>
        </is>
      </c>
      <c r="D27" t="inlineStr"/>
      <c r="E27" t="inlineStr"/>
      <c r="F27" t="inlineStr">
        <is>
          <t>claude-opus-5-5</t>
        </is>
      </c>
      <c r="G27" t="inlineStr">
        <is>
          <t>claude-opus-5-5</t>
        </is>
      </c>
      <c r="H27" s="36" t="n">
        <v>3</v>
      </c>
      <c r="I27" s="36" t="n">
        <v>625</v>
      </c>
      <c r="J27" s="36" t="n">
        <v>8750</v>
      </c>
      <c r="K27" s="36" t="n">
        <v>31666</v>
      </c>
      <c r="L27" s="36" t="n">
        <v>520833</v>
      </c>
      <c r="M27" s="36" t="n">
        <v>7500</v>
      </c>
      <c r="N27" s="14">
        <f>IFERROR((I27*VLOOKUP($G27,'Claude Prices'!$A$5:$G$22,3,FALSE)+J27*VLOOKUP($G27,'Claude Prices'!$A$5:$G$22,4,FALSE)+K27*VLOOKUP($G27,'Claude Prices'!$A$5:$G$22,5,FALSE)+L27*VLOOKUP($G27,'Claude Prices'!$A$5:$G$22,6,FALSE)+M27*VLOOKUP($G27,'Claude Prices'!$A$5:$G$22,7,FALSE))/1000000,0)</f>
        <v/>
      </c>
      <c r="O27" s="14">
        <f>N27*ClaudeFxRate</f>
        <v/>
      </c>
    </row>
    <row r="28">
      <c r="A28" s="26" t="n">
        <v>46045</v>
      </c>
      <c r="B28" t="inlineStr">
        <is>
          <t>planning</t>
        </is>
      </c>
      <c r="C28" t="inlineStr">
        <is>
          <t>UX design</t>
        </is>
      </c>
      <c r="D28" t="inlineStr"/>
      <c r="E28" t="inlineStr"/>
      <c r="F28" t="inlineStr">
        <is>
          <t>claude-sonnet-5</t>
        </is>
      </c>
      <c r="G28" t="inlineStr">
        <is>
          <t>claude-sonnet-5</t>
        </is>
      </c>
      <c r="H28" s="36" t="n">
        <v>36</v>
      </c>
      <c r="I28" s="36" t="n">
        <v>6000</v>
      </c>
      <c r="J28" s="36" t="n">
        <v>82000</v>
      </c>
      <c r="K28" s="36" t="n">
        <v>300000</v>
      </c>
      <c r="L28" s="36" t="n">
        <v>4960000</v>
      </c>
      <c r="M28" s="36" t="n">
        <v>84000</v>
      </c>
      <c r="N28" s="14">
        <f>IFERROR((I28*VLOOKUP($G28,'Claude Prices'!$A$5:$G$22,3,FALSE)+J28*VLOOKUP($G28,'Claude Prices'!$A$5:$G$22,4,FALSE)+K28*VLOOKUP($G28,'Claude Prices'!$A$5:$G$22,5,FALSE)+L28*VLOOKUP($G28,'Claude Prices'!$A$5:$G$22,6,FALSE)+M28*VLOOKUP($G28,'Claude Prices'!$A$5:$G$22,7,FALSE))/1000000,0)</f>
        <v/>
      </c>
      <c r="O28" s="14">
        <f>N28*ClaudeFxRate</f>
        <v/>
      </c>
    </row>
    <row r="29">
      <c r="A29" s="26" t="n">
        <v>46045</v>
      </c>
      <c r="B29" t="inlineStr">
        <is>
          <t>planning</t>
        </is>
      </c>
      <c r="C29" t="inlineStr">
        <is>
          <t>governance (Jules)</t>
        </is>
      </c>
      <c r="D29" t="inlineStr"/>
      <c r="E29" t="inlineStr"/>
      <c r="F29" t="inlineStr">
        <is>
          <t>claude-opus-5-5</t>
        </is>
      </c>
      <c r="G29" t="inlineStr">
        <is>
          <t>claude-opus-5-5</t>
        </is>
      </c>
      <c r="H29" s="36" t="n">
        <v>3</v>
      </c>
      <c r="I29" s="36" t="n">
        <v>625</v>
      </c>
      <c r="J29" s="36" t="n">
        <v>8750</v>
      </c>
      <c r="K29" s="36" t="n">
        <v>31666</v>
      </c>
      <c r="L29" s="36" t="n">
        <v>520833</v>
      </c>
      <c r="M29" s="36" t="n">
        <v>7500</v>
      </c>
      <c r="N29" s="14">
        <f>IFERROR((I29*VLOOKUP($G29,'Claude Prices'!$A$5:$G$22,3,FALSE)+J29*VLOOKUP($G29,'Claude Prices'!$A$5:$G$22,4,FALSE)+K29*VLOOKUP($G29,'Claude Prices'!$A$5:$G$22,5,FALSE)+L29*VLOOKUP($G29,'Claude Prices'!$A$5:$G$22,6,FALSE)+M29*VLOOKUP($G29,'Claude Prices'!$A$5:$G$22,7,FALSE))/1000000,0)</f>
        <v/>
      </c>
      <c r="O29" s="14">
        <f>N29*ClaudeFxRate</f>
        <v/>
      </c>
    </row>
    <row r="30">
      <c r="A30" s="26" t="n">
        <v>46048</v>
      </c>
      <c r="B30" t="inlineStr">
        <is>
          <t>planning</t>
        </is>
      </c>
      <c r="C30" t="inlineStr">
        <is>
          <t>epics &amp; stories</t>
        </is>
      </c>
      <c r="D30" t="inlineStr"/>
      <c r="E30" t="inlineStr"/>
      <c r="F30" t="inlineStr">
        <is>
          <t>claude-sonnet-5</t>
        </is>
      </c>
      <c r="G30" t="inlineStr">
        <is>
          <t>claude-sonnet-5</t>
        </is>
      </c>
      <c r="H30" s="36" t="n">
        <v>48</v>
      </c>
      <c r="I30" s="36" t="n">
        <v>9000</v>
      </c>
      <c r="J30" s="36" t="n">
        <v>130000</v>
      </c>
      <c r="K30" s="36" t="n">
        <v>450000</v>
      </c>
      <c r="L30" s="36" t="n">
        <v>7300000</v>
      </c>
      <c r="M30" s="36" t="n">
        <v>130000</v>
      </c>
      <c r="N30" s="14">
        <f>IFERROR((I30*VLOOKUP($G30,'Claude Prices'!$A$5:$G$22,3,FALSE)+J30*VLOOKUP($G30,'Claude Prices'!$A$5:$G$22,4,FALSE)+K30*VLOOKUP($G30,'Claude Prices'!$A$5:$G$22,5,FALSE)+L30*VLOOKUP($G30,'Claude Prices'!$A$5:$G$22,6,FALSE)+M30*VLOOKUP($G30,'Claude Prices'!$A$5:$G$22,7,FALSE))/1000000,0)</f>
        <v/>
      </c>
      <c r="O30" s="14">
        <f>N30*ClaudeFxRate</f>
        <v/>
      </c>
    </row>
    <row r="31">
      <c r="A31" s="26" t="n">
        <v>46048</v>
      </c>
      <c r="B31" t="inlineStr">
        <is>
          <t>planning</t>
        </is>
      </c>
      <c r="C31" t="inlineStr">
        <is>
          <t>governance (Jules)</t>
        </is>
      </c>
      <c r="D31" t="inlineStr"/>
      <c r="E31" t="inlineStr"/>
      <c r="F31" t="inlineStr">
        <is>
          <t>claude-opus-5-5</t>
        </is>
      </c>
      <c r="G31" t="inlineStr">
        <is>
          <t>claude-opus-5-5</t>
        </is>
      </c>
      <c r="H31" s="36" t="n">
        <v>3</v>
      </c>
      <c r="I31" s="36" t="n">
        <v>625</v>
      </c>
      <c r="J31" s="36" t="n">
        <v>8750</v>
      </c>
      <c r="K31" s="36" t="n">
        <v>31666</v>
      </c>
      <c r="L31" s="36" t="n">
        <v>520833</v>
      </c>
      <c r="M31" s="36" t="n">
        <v>7500</v>
      </c>
      <c r="N31" s="14">
        <f>IFERROR((I31*VLOOKUP($G31,'Claude Prices'!$A$5:$G$22,3,FALSE)+J31*VLOOKUP($G31,'Claude Prices'!$A$5:$G$22,4,FALSE)+K31*VLOOKUP($G31,'Claude Prices'!$A$5:$G$22,5,FALSE)+L31*VLOOKUP($G31,'Claude Prices'!$A$5:$G$22,6,FALSE)+M31*VLOOKUP($G31,'Claude Prices'!$A$5:$G$22,7,FALSE))/1000000,0)</f>
        <v/>
      </c>
      <c r="O31" s="14">
        <f>N31*ClaudeFxRate</f>
        <v/>
      </c>
    </row>
    <row r="32">
      <c r="A32" s="26" t="n">
        <v>46049</v>
      </c>
      <c r="B32" t="inlineStr">
        <is>
          <t>planning</t>
        </is>
      </c>
      <c r="C32" t="inlineStr">
        <is>
          <t>epics &amp; stories</t>
        </is>
      </c>
      <c r="D32" t="inlineStr"/>
      <c r="E32" t="inlineStr"/>
      <c r="F32" t="inlineStr">
        <is>
          <t>claude-sonnet-5</t>
        </is>
      </c>
      <c r="G32" t="inlineStr">
        <is>
          <t>claude-sonnet-5</t>
        </is>
      </c>
      <c r="H32" s="36" t="n">
        <v>49</v>
      </c>
      <c r="I32" s="36" t="n">
        <v>9000</v>
      </c>
      <c r="J32" s="36" t="n">
        <v>130000</v>
      </c>
      <c r="K32" s="36" t="n">
        <v>450000</v>
      </c>
      <c r="L32" s="36" t="n">
        <v>7300000</v>
      </c>
      <c r="M32" s="36" t="n">
        <v>130000</v>
      </c>
      <c r="N32" s="14">
        <f>IFERROR((I32*VLOOKUP($G32,'Claude Prices'!$A$5:$G$22,3,FALSE)+J32*VLOOKUP($G32,'Claude Prices'!$A$5:$G$22,4,FALSE)+K32*VLOOKUP($G32,'Claude Prices'!$A$5:$G$22,5,FALSE)+L32*VLOOKUP($G32,'Claude Prices'!$A$5:$G$22,6,FALSE)+M32*VLOOKUP($G32,'Claude Prices'!$A$5:$G$22,7,FALSE))/1000000,0)</f>
        <v/>
      </c>
      <c r="O32" s="14">
        <f>N32*ClaudeFxRate</f>
        <v/>
      </c>
    </row>
    <row r="33">
      <c r="A33" s="26" t="n">
        <v>46049</v>
      </c>
      <c r="B33" t="inlineStr">
        <is>
          <t>planning</t>
        </is>
      </c>
      <c r="C33" t="inlineStr">
        <is>
          <t>governance (Jules)</t>
        </is>
      </c>
      <c r="D33" t="inlineStr"/>
      <c r="E33" t="inlineStr"/>
      <c r="F33" t="inlineStr">
        <is>
          <t>claude-opus-5-5</t>
        </is>
      </c>
      <c r="G33" t="inlineStr">
        <is>
          <t>claude-opus-5-5</t>
        </is>
      </c>
      <c r="H33" s="36" t="n">
        <v>3</v>
      </c>
      <c r="I33" s="36" t="n">
        <v>625</v>
      </c>
      <c r="J33" s="36" t="n">
        <v>8750</v>
      </c>
      <c r="K33" s="36" t="n">
        <v>31666</v>
      </c>
      <c r="L33" s="36" t="n">
        <v>520833</v>
      </c>
      <c r="M33" s="36" t="n">
        <v>7500</v>
      </c>
      <c r="N33" s="14">
        <f>IFERROR((I33*VLOOKUP($G33,'Claude Prices'!$A$5:$G$22,3,FALSE)+J33*VLOOKUP($G33,'Claude Prices'!$A$5:$G$22,4,FALSE)+K33*VLOOKUP($G33,'Claude Prices'!$A$5:$G$22,5,FALSE)+L33*VLOOKUP($G33,'Claude Prices'!$A$5:$G$22,6,FALSE)+M33*VLOOKUP($G33,'Claude Prices'!$A$5:$G$22,7,FALSE))/1000000,0)</f>
        <v/>
      </c>
      <c r="O33" s="14">
        <f>N33*ClaudeFxRate</f>
        <v/>
      </c>
    </row>
    <row r="34">
      <c r="A34" s="26" t="n">
        <v>46050</v>
      </c>
      <c r="B34" t="inlineStr">
        <is>
          <t>planning</t>
        </is>
      </c>
      <c r="C34" t="inlineStr">
        <is>
          <t>governance (Jules)</t>
        </is>
      </c>
      <c r="D34" t="inlineStr"/>
      <c r="E34" t="inlineStr"/>
      <c r="F34" t="inlineStr">
        <is>
          <t>claude-opus-5-5</t>
        </is>
      </c>
      <c r="G34" t="inlineStr">
        <is>
          <t>claude-opus-5-5</t>
        </is>
      </c>
      <c r="H34" s="36" t="n">
        <v>3</v>
      </c>
      <c r="I34" s="36" t="n">
        <v>625</v>
      </c>
      <c r="J34" s="36" t="n">
        <v>8750</v>
      </c>
      <c r="K34" s="36" t="n">
        <v>31666</v>
      </c>
      <c r="L34" s="36" t="n">
        <v>520833</v>
      </c>
      <c r="M34" s="36" t="n">
        <v>7500</v>
      </c>
      <c r="N34" s="14">
        <f>IFERROR((I34*VLOOKUP($G34,'Claude Prices'!$A$5:$G$22,3,FALSE)+J34*VLOOKUP($G34,'Claude Prices'!$A$5:$G$22,4,FALSE)+K34*VLOOKUP($G34,'Claude Prices'!$A$5:$G$22,5,FALSE)+L34*VLOOKUP($G34,'Claude Prices'!$A$5:$G$22,6,FALSE)+M34*VLOOKUP($G34,'Claude Prices'!$A$5:$G$22,7,FALSE))/1000000,0)</f>
        <v/>
      </c>
      <c r="O34" s="14">
        <f>N34*ClaudeFxRate</f>
        <v/>
      </c>
    </row>
    <row r="35">
      <c r="A35" s="26" t="n">
        <v>46051</v>
      </c>
      <c r="B35" t="inlineStr">
        <is>
          <t>planning</t>
        </is>
      </c>
      <c r="C35" t="inlineStr">
        <is>
          <t>governance (Jules)</t>
        </is>
      </c>
      <c r="D35" t="inlineStr"/>
      <c r="E35" t="inlineStr"/>
      <c r="F35" t="inlineStr">
        <is>
          <t>claude-opus-5-5</t>
        </is>
      </c>
      <c r="G35" t="inlineStr">
        <is>
          <t>claude-opus-5-5</t>
        </is>
      </c>
      <c r="H35" s="36" t="n">
        <v>3</v>
      </c>
      <c r="I35" s="36" t="n">
        <v>625</v>
      </c>
      <c r="J35" s="36" t="n">
        <v>8750</v>
      </c>
      <c r="K35" s="36" t="n">
        <v>31666</v>
      </c>
      <c r="L35" s="36" t="n">
        <v>520833</v>
      </c>
      <c r="M35" s="36" t="n">
        <v>7500</v>
      </c>
      <c r="N35" s="14">
        <f>IFERROR((I35*VLOOKUP($G35,'Claude Prices'!$A$5:$G$22,3,FALSE)+J35*VLOOKUP($G35,'Claude Prices'!$A$5:$G$22,4,FALSE)+K35*VLOOKUP($G35,'Claude Prices'!$A$5:$G$22,5,FALSE)+L35*VLOOKUP($G35,'Claude Prices'!$A$5:$G$22,6,FALSE)+M35*VLOOKUP($G35,'Claude Prices'!$A$5:$G$22,7,FALSE))/1000000,0)</f>
        <v/>
      </c>
      <c r="O35" s="14">
        <f>N35*ClaudeFxRate</f>
        <v/>
      </c>
    </row>
    <row r="36">
      <c r="A36" s="26" t="n">
        <v>46052</v>
      </c>
      <c r="B36" t="inlineStr">
        <is>
          <t>planning</t>
        </is>
      </c>
      <c r="C36" t="inlineStr">
        <is>
          <t>governance (Jules)</t>
        </is>
      </c>
      <c r="D36" t="inlineStr"/>
      <c r="E36" t="inlineStr"/>
      <c r="F36" t="inlineStr">
        <is>
          <t>claude-opus-5-5</t>
        </is>
      </c>
      <c r="G36" t="inlineStr">
        <is>
          <t>claude-opus-5-5</t>
        </is>
      </c>
      <c r="H36" s="36" t="n">
        <v>3</v>
      </c>
      <c r="I36" s="36" t="n">
        <v>625</v>
      </c>
      <c r="J36" s="36" t="n">
        <v>8750</v>
      </c>
      <c r="K36" s="36" t="n">
        <v>31666</v>
      </c>
      <c r="L36" s="36" t="n">
        <v>520833</v>
      </c>
      <c r="M36" s="36" t="n">
        <v>7500</v>
      </c>
      <c r="N36" s="14">
        <f>IFERROR((I36*VLOOKUP($G36,'Claude Prices'!$A$5:$G$22,3,FALSE)+J36*VLOOKUP($G36,'Claude Prices'!$A$5:$G$22,4,FALSE)+K36*VLOOKUP($G36,'Claude Prices'!$A$5:$G$22,5,FALSE)+L36*VLOOKUP($G36,'Claude Prices'!$A$5:$G$22,6,FALSE)+M36*VLOOKUP($G36,'Claude Prices'!$A$5:$G$22,7,FALSE))/1000000,0)</f>
        <v/>
      </c>
      <c r="O36" s="14">
        <f>N36*ClaudeFxRate</f>
        <v/>
      </c>
    </row>
    <row r="37">
      <c r="A37" s="26" t="n">
        <v>46055</v>
      </c>
      <c r="B37" t="inlineStr">
        <is>
          <t>planning</t>
        </is>
      </c>
      <c r="C37" t="inlineStr">
        <is>
          <t>governance (Jules)</t>
        </is>
      </c>
      <c r="D37" t="inlineStr"/>
      <c r="E37" t="inlineStr"/>
      <c r="F37" t="inlineStr">
        <is>
          <t>claude-opus-5-5</t>
        </is>
      </c>
      <c r="G37" t="inlineStr">
        <is>
          <t>claude-opus-5-5</t>
        </is>
      </c>
      <c r="H37" s="36" t="n">
        <v>3</v>
      </c>
      <c r="I37" s="36" t="n">
        <v>625</v>
      </c>
      <c r="J37" s="36" t="n">
        <v>8750</v>
      </c>
      <c r="K37" s="36" t="n">
        <v>31666</v>
      </c>
      <c r="L37" s="36" t="n">
        <v>520833</v>
      </c>
      <c r="M37" s="36" t="n">
        <v>7500</v>
      </c>
      <c r="N37" s="14">
        <f>IFERROR((I37*VLOOKUP($G37,'Claude Prices'!$A$5:$G$22,3,FALSE)+J37*VLOOKUP($G37,'Claude Prices'!$A$5:$G$22,4,FALSE)+K37*VLOOKUP($G37,'Claude Prices'!$A$5:$G$22,5,FALSE)+L37*VLOOKUP($G37,'Claude Prices'!$A$5:$G$22,6,FALSE)+M37*VLOOKUP($G37,'Claude Prices'!$A$5:$G$22,7,FALSE))/1000000,0)</f>
        <v/>
      </c>
      <c r="O37" s="14">
        <f>N37*ClaudeFxRate</f>
        <v/>
      </c>
    </row>
    <row r="38">
      <c r="A38" s="26" t="n">
        <v>46056</v>
      </c>
      <c r="B38" t="inlineStr">
        <is>
          <t>planning</t>
        </is>
      </c>
      <c r="C38" t="inlineStr">
        <is>
          <t>governance (Jules)</t>
        </is>
      </c>
      <c r="D38" t="inlineStr"/>
      <c r="E38" t="inlineStr"/>
      <c r="F38" t="inlineStr">
        <is>
          <t>claude-opus-5-5</t>
        </is>
      </c>
      <c r="G38" t="inlineStr">
        <is>
          <t>claude-opus-5-5</t>
        </is>
      </c>
      <c r="H38" s="36" t="n">
        <v>3</v>
      </c>
      <c r="I38" s="36" t="n">
        <v>625</v>
      </c>
      <c r="J38" s="36" t="n">
        <v>8750</v>
      </c>
      <c r="K38" s="36" t="n">
        <v>31666</v>
      </c>
      <c r="L38" s="36" t="n">
        <v>520833</v>
      </c>
      <c r="M38" s="36" t="n">
        <v>7500</v>
      </c>
      <c r="N38" s="14">
        <f>IFERROR((I38*VLOOKUP($G38,'Claude Prices'!$A$5:$G$22,3,FALSE)+J38*VLOOKUP($G38,'Claude Prices'!$A$5:$G$22,4,FALSE)+K38*VLOOKUP($G38,'Claude Prices'!$A$5:$G$22,5,FALSE)+L38*VLOOKUP($G38,'Claude Prices'!$A$5:$G$22,6,FALSE)+M38*VLOOKUP($G38,'Claude Prices'!$A$5:$G$22,7,FALSE))/1000000,0)</f>
        <v/>
      </c>
      <c r="O38" s="14">
        <f>N38*ClaudeFxRate</f>
        <v/>
      </c>
    </row>
    <row r="39">
      <c r="A39" s="26" t="n">
        <v>46057</v>
      </c>
      <c r="B39" t="inlineStr">
        <is>
          <t>planning</t>
        </is>
      </c>
      <c r="C39" t="inlineStr">
        <is>
          <t>governance (Jules)</t>
        </is>
      </c>
      <c r="D39" t="inlineStr"/>
      <c r="E39" t="inlineStr"/>
      <c r="F39" t="inlineStr">
        <is>
          <t>claude-opus-5-5</t>
        </is>
      </c>
      <c r="G39" t="inlineStr">
        <is>
          <t>claude-opus-5-5</t>
        </is>
      </c>
      <c r="H39" s="36" t="n">
        <v>3</v>
      </c>
      <c r="I39" s="36" t="n">
        <v>625</v>
      </c>
      <c r="J39" s="36" t="n">
        <v>8750</v>
      </c>
      <c r="K39" s="36" t="n">
        <v>31666</v>
      </c>
      <c r="L39" s="36" t="n">
        <v>520833</v>
      </c>
      <c r="M39" s="36" t="n">
        <v>7500</v>
      </c>
      <c r="N39" s="14">
        <f>IFERROR((I39*VLOOKUP($G39,'Claude Prices'!$A$5:$G$22,3,FALSE)+J39*VLOOKUP($G39,'Claude Prices'!$A$5:$G$22,4,FALSE)+K39*VLOOKUP($G39,'Claude Prices'!$A$5:$G$22,5,FALSE)+L39*VLOOKUP($G39,'Claude Prices'!$A$5:$G$22,6,FALSE)+M39*VLOOKUP($G39,'Claude Prices'!$A$5:$G$22,7,FALSE))/1000000,0)</f>
        <v/>
      </c>
      <c r="O39" s="14">
        <f>N39*ClaudeFxRate</f>
        <v/>
      </c>
    </row>
    <row r="40">
      <c r="A40" s="26" t="n">
        <v>46058</v>
      </c>
      <c r="B40" t="inlineStr">
        <is>
          <t>planning</t>
        </is>
      </c>
      <c r="C40" t="inlineStr">
        <is>
          <t>governance (Jules)</t>
        </is>
      </c>
      <c r="D40" t="inlineStr"/>
      <c r="E40" t="inlineStr"/>
      <c r="F40" t="inlineStr">
        <is>
          <t>claude-opus-5-5</t>
        </is>
      </c>
      <c r="G40" t="inlineStr">
        <is>
          <t>claude-opus-5-5</t>
        </is>
      </c>
      <c r="H40" s="36" t="n">
        <v>3</v>
      </c>
      <c r="I40" s="36" t="n">
        <v>625</v>
      </c>
      <c r="J40" s="36" t="n">
        <v>8750</v>
      </c>
      <c r="K40" s="36" t="n">
        <v>31666</v>
      </c>
      <c r="L40" s="36" t="n">
        <v>520833</v>
      </c>
      <c r="M40" s="36" t="n">
        <v>7500</v>
      </c>
      <c r="N40" s="14">
        <f>IFERROR((I40*VLOOKUP($G40,'Claude Prices'!$A$5:$G$22,3,FALSE)+J40*VLOOKUP($G40,'Claude Prices'!$A$5:$G$22,4,FALSE)+K40*VLOOKUP($G40,'Claude Prices'!$A$5:$G$22,5,FALSE)+L40*VLOOKUP($G40,'Claude Prices'!$A$5:$G$22,6,FALSE)+M40*VLOOKUP($G40,'Claude Prices'!$A$5:$G$22,7,FALSE))/1000000,0)</f>
        <v/>
      </c>
      <c r="O40" s="14">
        <f>N40*ClaudeFxRate</f>
        <v/>
      </c>
    </row>
    <row r="41">
      <c r="A41" s="26" t="n">
        <v>46059</v>
      </c>
      <c r="B41" t="inlineStr">
        <is>
          <t>planning</t>
        </is>
      </c>
      <c r="C41" t="inlineStr">
        <is>
          <t>governance (Jules)</t>
        </is>
      </c>
      <c r="D41" t="inlineStr"/>
      <c r="E41" t="inlineStr"/>
      <c r="F41" t="inlineStr">
        <is>
          <t>claude-opus-5-5</t>
        </is>
      </c>
      <c r="G41" t="inlineStr">
        <is>
          <t>claude-opus-5-5</t>
        </is>
      </c>
      <c r="H41" s="36" t="n">
        <v>3</v>
      </c>
      <c r="I41" s="36" t="n">
        <v>625</v>
      </c>
      <c r="J41" s="36" t="n">
        <v>8750</v>
      </c>
      <c r="K41" s="36" t="n">
        <v>31666</v>
      </c>
      <c r="L41" s="36" t="n">
        <v>520833</v>
      </c>
      <c r="M41" s="36" t="n">
        <v>7500</v>
      </c>
      <c r="N41" s="14">
        <f>IFERROR((I41*VLOOKUP($G41,'Claude Prices'!$A$5:$G$22,3,FALSE)+J41*VLOOKUP($G41,'Claude Prices'!$A$5:$G$22,4,FALSE)+K41*VLOOKUP($G41,'Claude Prices'!$A$5:$G$22,5,FALSE)+L41*VLOOKUP($G41,'Claude Prices'!$A$5:$G$22,6,FALSE)+M41*VLOOKUP($G41,'Claude Prices'!$A$5:$G$22,7,FALSE))/1000000,0)</f>
        <v/>
      </c>
      <c r="O41" s="14">
        <f>N41*ClaudeFxRate</f>
        <v/>
      </c>
    </row>
    <row r="42">
      <c r="A42" s="26" t="n">
        <v>46062</v>
      </c>
      <c r="B42" t="inlineStr">
        <is>
          <t>planning</t>
        </is>
      </c>
      <c r="C42" t="inlineStr">
        <is>
          <t>governance (Jules)</t>
        </is>
      </c>
      <c r="D42" t="inlineStr"/>
      <c r="E42" t="inlineStr"/>
      <c r="F42" t="inlineStr">
        <is>
          <t>claude-opus-5-5</t>
        </is>
      </c>
      <c r="G42" t="inlineStr">
        <is>
          <t>claude-opus-5-5</t>
        </is>
      </c>
      <c r="H42" s="36" t="n">
        <v>3</v>
      </c>
      <c r="I42" s="36" t="n">
        <v>625</v>
      </c>
      <c r="J42" s="36" t="n">
        <v>8750</v>
      </c>
      <c r="K42" s="36" t="n">
        <v>31666</v>
      </c>
      <c r="L42" s="36" t="n">
        <v>520833</v>
      </c>
      <c r="M42" s="36" t="n">
        <v>7500</v>
      </c>
      <c r="N42" s="14">
        <f>IFERROR((I42*VLOOKUP($G42,'Claude Prices'!$A$5:$G$22,3,FALSE)+J42*VLOOKUP($G42,'Claude Prices'!$A$5:$G$22,4,FALSE)+K42*VLOOKUP($G42,'Claude Prices'!$A$5:$G$22,5,FALSE)+L42*VLOOKUP($G42,'Claude Prices'!$A$5:$G$22,6,FALSE)+M42*VLOOKUP($G42,'Claude Prices'!$A$5:$G$22,7,FALSE))/1000000,0)</f>
        <v/>
      </c>
      <c r="O42" s="14">
        <f>N42*ClaudeFxRate</f>
        <v/>
      </c>
    </row>
    <row r="43">
      <c r="A43" s="26" t="n">
        <v>46063</v>
      </c>
      <c r="B43" t="inlineStr">
        <is>
          <t>planning</t>
        </is>
      </c>
      <c r="C43" t="inlineStr">
        <is>
          <t>governance (Jules)</t>
        </is>
      </c>
      <c r="D43" t="inlineStr"/>
      <c r="E43" t="inlineStr"/>
      <c r="F43" t="inlineStr">
        <is>
          <t>claude-opus-5-5</t>
        </is>
      </c>
      <c r="G43" t="inlineStr">
        <is>
          <t>claude-opus-5-5</t>
        </is>
      </c>
      <c r="H43" s="36" t="n">
        <v>3</v>
      </c>
      <c r="I43" s="36" t="n">
        <v>625</v>
      </c>
      <c r="J43" s="36" t="n">
        <v>8750</v>
      </c>
      <c r="K43" s="36" t="n">
        <v>31666</v>
      </c>
      <c r="L43" s="36" t="n">
        <v>520833</v>
      </c>
      <c r="M43" s="36" t="n">
        <v>7500</v>
      </c>
      <c r="N43" s="14">
        <f>IFERROR((I43*VLOOKUP($G43,'Claude Prices'!$A$5:$G$22,3,FALSE)+J43*VLOOKUP($G43,'Claude Prices'!$A$5:$G$22,4,FALSE)+K43*VLOOKUP($G43,'Claude Prices'!$A$5:$G$22,5,FALSE)+L43*VLOOKUP($G43,'Claude Prices'!$A$5:$G$22,6,FALSE)+M43*VLOOKUP($G43,'Claude Prices'!$A$5:$G$22,7,FALSE))/1000000,0)</f>
        <v/>
      </c>
      <c r="O43" s="14">
        <f>N43*ClaudeFxRate</f>
        <v/>
      </c>
    </row>
    <row r="44">
      <c r="A44" s="26" t="n">
        <v>46064</v>
      </c>
      <c r="B44" t="inlineStr">
        <is>
          <t>planning</t>
        </is>
      </c>
      <c r="C44" t="inlineStr">
        <is>
          <t>governance (Jules)</t>
        </is>
      </c>
      <c r="D44" t="inlineStr"/>
      <c r="E44" t="inlineStr"/>
      <c r="F44" t="inlineStr">
        <is>
          <t>claude-opus-5-5</t>
        </is>
      </c>
      <c r="G44" t="inlineStr">
        <is>
          <t>claude-opus-5-5</t>
        </is>
      </c>
      <c r="H44" s="36" t="n">
        <v>3</v>
      </c>
      <c r="I44" s="36" t="n">
        <v>625</v>
      </c>
      <c r="J44" s="36" t="n">
        <v>8750</v>
      </c>
      <c r="K44" s="36" t="n">
        <v>31666</v>
      </c>
      <c r="L44" s="36" t="n">
        <v>520833</v>
      </c>
      <c r="M44" s="36" t="n">
        <v>7500</v>
      </c>
      <c r="N44" s="14">
        <f>IFERROR((I44*VLOOKUP($G44,'Claude Prices'!$A$5:$G$22,3,FALSE)+J44*VLOOKUP($G44,'Claude Prices'!$A$5:$G$22,4,FALSE)+K44*VLOOKUP($G44,'Claude Prices'!$A$5:$G$22,5,FALSE)+L44*VLOOKUP($G44,'Claude Prices'!$A$5:$G$22,6,FALSE)+M44*VLOOKUP($G44,'Claude Prices'!$A$5:$G$22,7,FALSE))/1000000,0)</f>
        <v/>
      </c>
      <c r="O44" s="14">
        <f>N44*ClaudeFxRate</f>
        <v/>
      </c>
    </row>
    <row r="45">
      <c r="A45" s="26" t="n">
        <v>46065</v>
      </c>
      <c r="B45" t="inlineStr">
        <is>
          <t>planning</t>
        </is>
      </c>
      <c r="C45" t="inlineStr">
        <is>
          <t>governance (Jules)</t>
        </is>
      </c>
      <c r="D45" t="inlineStr"/>
      <c r="E45" t="inlineStr"/>
      <c r="F45" t="inlineStr">
        <is>
          <t>claude-opus-5-5</t>
        </is>
      </c>
      <c r="G45" t="inlineStr">
        <is>
          <t>claude-opus-5-5</t>
        </is>
      </c>
      <c r="H45" s="36" t="n">
        <v>3</v>
      </c>
      <c r="I45" s="36" t="n">
        <v>625</v>
      </c>
      <c r="J45" s="36" t="n">
        <v>8750</v>
      </c>
      <c r="K45" s="36" t="n">
        <v>31666</v>
      </c>
      <c r="L45" s="36" t="n">
        <v>520833</v>
      </c>
      <c r="M45" s="36" t="n">
        <v>7500</v>
      </c>
      <c r="N45" s="14">
        <f>IFERROR((I45*VLOOKUP($G45,'Claude Prices'!$A$5:$G$22,3,FALSE)+J45*VLOOKUP($G45,'Claude Prices'!$A$5:$G$22,4,FALSE)+K45*VLOOKUP($G45,'Claude Prices'!$A$5:$G$22,5,FALSE)+L45*VLOOKUP($G45,'Claude Prices'!$A$5:$G$22,6,FALSE)+M45*VLOOKUP($G45,'Claude Prices'!$A$5:$G$22,7,FALSE))/1000000,0)</f>
        <v/>
      </c>
      <c r="O45" s="14">
        <f>N45*ClaudeFxRate</f>
        <v/>
      </c>
    </row>
    <row r="46">
      <c r="A46" s="26" t="n">
        <v>46066</v>
      </c>
      <c r="B46" t="inlineStr">
        <is>
          <t>planning</t>
        </is>
      </c>
      <c r="C46" t="inlineStr">
        <is>
          <t>governance (Jules)</t>
        </is>
      </c>
      <c r="D46" t="inlineStr"/>
      <c r="E46" t="inlineStr"/>
      <c r="F46" t="inlineStr">
        <is>
          <t>claude-opus-5-5</t>
        </is>
      </c>
      <c r="G46" t="inlineStr">
        <is>
          <t>claude-opus-5-5</t>
        </is>
      </c>
      <c r="H46" s="36" t="n">
        <v>3</v>
      </c>
      <c r="I46" s="36" t="n">
        <v>625</v>
      </c>
      <c r="J46" s="36" t="n">
        <v>8750</v>
      </c>
      <c r="K46" s="36" t="n">
        <v>31666</v>
      </c>
      <c r="L46" s="36" t="n">
        <v>520833</v>
      </c>
      <c r="M46" s="36" t="n">
        <v>7500</v>
      </c>
      <c r="N46" s="14">
        <f>IFERROR((I46*VLOOKUP($G46,'Claude Prices'!$A$5:$G$22,3,FALSE)+J46*VLOOKUP($G46,'Claude Prices'!$A$5:$G$22,4,FALSE)+K46*VLOOKUP($G46,'Claude Prices'!$A$5:$G$22,5,FALSE)+L46*VLOOKUP($G46,'Claude Prices'!$A$5:$G$22,6,FALSE)+M46*VLOOKUP($G46,'Claude Prices'!$A$5:$G$22,7,FALSE))/1000000,0)</f>
        <v/>
      </c>
      <c r="O46" s="14">
        <f>N46*ClaudeFxRate</f>
        <v/>
      </c>
    </row>
    <row r="47">
      <c r="A47" s="26" t="n">
        <v>46069</v>
      </c>
      <c r="B47" t="inlineStr">
        <is>
          <t>planning</t>
        </is>
      </c>
      <c r="C47" t="inlineStr">
        <is>
          <t>governance (Jules)</t>
        </is>
      </c>
      <c r="D47" t="inlineStr"/>
      <c r="E47" t="inlineStr"/>
      <c r="F47" t="inlineStr">
        <is>
          <t>claude-opus-5-5</t>
        </is>
      </c>
      <c r="G47" t="inlineStr">
        <is>
          <t>claude-opus-5-5</t>
        </is>
      </c>
      <c r="H47" s="36" t="n">
        <v>3</v>
      </c>
      <c r="I47" s="36" t="n">
        <v>625</v>
      </c>
      <c r="J47" s="36" t="n">
        <v>8750</v>
      </c>
      <c r="K47" s="36" t="n">
        <v>31666</v>
      </c>
      <c r="L47" s="36" t="n">
        <v>520833</v>
      </c>
      <c r="M47" s="36" t="n">
        <v>7500</v>
      </c>
      <c r="N47" s="14">
        <f>IFERROR((I47*VLOOKUP($G47,'Claude Prices'!$A$5:$G$22,3,FALSE)+J47*VLOOKUP($G47,'Claude Prices'!$A$5:$G$22,4,FALSE)+K47*VLOOKUP($G47,'Claude Prices'!$A$5:$G$22,5,FALSE)+L47*VLOOKUP($G47,'Claude Prices'!$A$5:$G$22,6,FALSE)+M47*VLOOKUP($G47,'Claude Prices'!$A$5:$G$22,7,FALSE))/1000000,0)</f>
        <v/>
      </c>
      <c r="O47" s="14">
        <f>N47*ClaudeFxRate</f>
        <v/>
      </c>
    </row>
    <row r="48">
      <c r="A48" s="26" t="n">
        <v>46070</v>
      </c>
      <c r="B48" t="inlineStr">
        <is>
          <t>planning</t>
        </is>
      </c>
      <c r="C48" t="inlineStr">
        <is>
          <t>governance (Jules)</t>
        </is>
      </c>
      <c r="D48" t="inlineStr"/>
      <c r="E48" t="inlineStr"/>
      <c r="F48" t="inlineStr">
        <is>
          <t>claude-opus-5-5</t>
        </is>
      </c>
      <c r="G48" t="inlineStr">
        <is>
          <t>claude-opus-5-5</t>
        </is>
      </c>
      <c r="H48" s="36" t="n">
        <v>3</v>
      </c>
      <c r="I48" s="36" t="n">
        <v>625</v>
      </c>
      <c r="J48" s="36" t="n">
        <v>8750</v>
      </c>
      <c r="K48" s="36" t="n">
        <v>31666</v>
      </c>
      <c r="L48" s="36" t="n">
        <v>520833</v>
      </c>
      <c r="M48" s="36" t="n">
        <v>7500</v>
      </c>
      <c r="N48" s="14">
        <f>IFERROR((I48*VLOOKUP($G48,'Claude Prices'!$A$5:$G$22,3,FALSE)+J48*VLOOKUP($G48,'Claude Prices'!$A$5:$G$22,4,FALSE)+K48*VLOOKUP($G48,'Claude Prices'!$A$5:$G$22,5,FALSE)+L48*VLOOKUP($G48,'Claude Prices'!$A$5:$G$22,6,FALSE)+M48*VLOOKUP($G48,'Claude Prices'!$A$5:$G$22,7,FALSE))/1000000,0)</f>
        <v/>
      </c>
      <c r="O48" s="14">
        <f>N48*ClaudeFxRate</f>
        <v/>
      </c>
    </row>
    <row r="49">
      <c r="A49" s="26" t="n">
        <v>46071</v>
      </c>
      <c r="B49" t="inlineStr">
        <is>
          <t>planning</t>
        </is>
      </c>
      <c r="C49" t="inlineStr">
        <is>
          <t>governance (Jules)</t>
        </is>
      </c>
      <c r="D49" t="inlineStr"/>
      <c r="E49" t="inlineStr"/>
      <c r="F49" t="inlineStr">
        <is>
          <t>claude-opus-5-5</t>
        </is>
      </c>
      <c r="G49" t="inlineStr">
        <is>
          <t>claude-opus-5-5</t>
        </is>
      </c>
      <c r="H49" s="36" t="n">
        <v>3</v>
      </c>
      <c r="I49" s="36" t="n">
        <v>625</v>
      </c>
      <c r="J49" s="36" t="n">
        <v>8750</v>
      </c>
      <c r="K49" s="36" t="n">
        <v>31666</v>
      </c>
      <c r="L49" s="36" t="n">
        <v>520833</v>
      </c>
      <c r="M49" s="36" t="n">
        <v>7500</v>
      </c>
      <c r="N49" s="14">
        <f>IFERROR((I49*VLOOKUP($G49,'Claude Prices'!$A$5:$G$22,3,FALSE)+J49*VLOOKUP($G49,'Claude Prices'!$A$5:$G$22,4,FALSE)+K49*VLOOKUP($G49,'Claude Prices'!$A$5:$G$22,5,FALSE)+L49*VLOOKUP($G49,'Claude Prices'!$A$5:$G$22,6,FALSE)+M49*VLOOKUP($G49,'Claude Prices'!$A$5:$G$22,7,FALSE))/1000000,0)</f>
        <v/>
      </c>
      <c r="O49" s="14">
        <f>N49*ClaudeFxRate</f>
        <v/>
      </c>
    </row>
    <row r="50">
      <c r="A50" s="26" t="n">
        <v>46072</v>
      </c>
      <c r="B50" t="inlineStr">
        <is>
          <t>planning</t>
        </is>
      </c>
      <c r="C50" t="inlineStr">
        <is>
          <t>governance (Jules)</t>
        </is>
      </c>
      <c r="D50" t="inlineStr"/>
      <c r="E50" t="inlineStr"/>
      <c r="F50" t="inlineStr">
        <is>
          <t>claude-opus-5-5</t>
        </is>
      </c>
      <c r="G50" t="inlineStr">
        <is>
          <t>claude-opus-5-5</t>
        </is>
      </c>
      <c r="H50" s="36" t="n">
        <v>3</v>
      </c>
      <c r="I50" s="36" t="n">
        <v>625</v>
      </c>
      <c r="J50" s="36" t="n">
        <v>8750</v>
      </c>
      <c r="K50" s="36" t="n">
        <v>31666</v>
      </c>
      <c r="L50" s="36" t="n">
        <v>520833</v>
      </c>
      <c r="M50" s="36" t="n">
        <v>7500</v>
      </c>
      <c r="N50" s="14">
        <f>IFERROR((I50*VLOOKUP($G50,'Claude Prices'!$A$5:$G$22,3,FALSE)+J50*VLOOKUP($G50,'Claude Prices'!$A$5:$G$22,4,FALSE)+K50*VLOOKUP($G50,'Claude Prices'!$A$5:$G$22,5,FALSE)+L50*VLOOKUP($G50,'Claude Prices'!$A$5:$G$22,6,FALSE)+M50*VLOOKUP($G50,'Claude Prices'!$A$5:$G$22,7,FALSE))/1000000,0)</f>
        <v/>
      </c>
      <c r="O50" s="14">
        <f>N50*ClaudeFxRate</f>
        <v/>
      </c>
    </row>
    <row r="51">
      <c r="A51" s="26" t="n">
        <v>46073</v>
      </c>
      <c r="B51" t="inlineStr">
        <is>
          <t>planning</t>
        </is>
      </c>
      <c r="C51" t="inlineStr">
        <is>
          <t>governance (Jules)</t>
        </is>
      </c>
      <c r="D51" t="inlineStr"/>
      <c r="E51" t="inlineStr"/>
      <c r="F51" t="inlineStr">
        <is>
          <t>claude-opus-5-5</t>
        </is>
      </c>
      <c r="G51" t="inlineStr">
        <is>
          <t>claude-opus-5-5</t>
        </is>
      </c>
      <c r="H51" s="36" t="n">
        <v>19</v>
      </c>
      <c r="I51" s="36" t="n">
        <v>625</v>
      </c>
      <c r="J51" s="36" t="n">
        <v>8750</v>
      </c>
      <c r="K51" s="36" t="n">
        <v>31682</v>
      </c>
      <c r="L51" s="36" t="n">
        <v>520841</v>
      </c>
      <c r="M51" s="36" t="n">
        <v>7500</v>
      </c>
      <c r="N51" s="14">
        <f>IFERROR((I51*VLOOKUP($G51,'Claude Prices'!$A$5:$G$22,3,FALSE)+J51*VLOOKUP($G51,'Claude Prices'!$A$5:$G$22,4,FALSE)+K51*VLOOKUP($G51,'Claude Prices'!$A$5:$G$22,5,FALSE)+L51*VLOOKUP($G51,'Claude Prices'!$A$5:$G$22,6,FALSE)+M51*VLOOKUP($G51,'Claude Prices'!$A$5:$G$22,7,FALSE))/1000000,0)</f>
        <v/>
      </c>
      <c r="O51" s="14">
        <f>N51*ClaudeFxRate</f>
        <v/>
      </c>
    </row>
    <row r="52">
      <c r="A52" s="26" t="n">
        <v>46083</v>
      </c>
      <c r="B52" t="inlineStr">
        <is>
          <t>story</t>
        </is>
      </c>
      <c r="C52" t="inlineStr">
        <is>
          <t>FAL-11</t>
        </is>
      </c>
      <c r="D52" t="inlineStr">
        <is>
          <t>1.1</t>
        </is>
      </c>
      <c r="E52" t="inlineStr">
        <is>
          <t>Sign in with Entra ID</t>
        </is>
      </c>
      <c r="F52" t="inlineStr">
        <is>
          <t>claude-sonnet-5</t>
        </is>
      </c>
      <c r="G52" t="inlineStr">
        <is>
          <t>claude-sonnet-5</t>
        </is>
      </c>
      <c r="H52" s="36" t="n">
        <v>17</v>
      </c>
      <c r="I52" s="36" t="n">
        <v>3333</v>
      </c>
      <c r="J52" s="36" t="n">
        <v>41666</v>
      </c>
      <c r="K52" s="36" t="n">
        <v>175000</v>
      </c>
      <c r="L52" s="36" t="n">
        <v>2825000</v>
      </c>
      <c r="M52" s="36" t="n">
        <v>43333</v>
      </c>
      <c r="N52" s="14">
        <f>IFERROR((I52*VLOOKUP($G52,'Claude Prices'!$A$5:$G$22,3,FALSE)+J52*VLOOKUP($G52,'Claude Prices'!$A$5:$G$22,4,FALSE)+K52*VLOOKUP($G52,'Claude Prices'!$A$5:$G$22,5,FALSE)+L52*VLOOKUP($G52,'Claude Prices'!$A$5:$G$22,6,FALSE)+M52*VLOOKUP($G52,'Claude Prices'!$A$5:$G$22,7,FALSE))/1000000,0)</f>
        <v/>
      </c>
      <c r="O52" s="14">
        <f>N52*ClaudeFxRate</f>
        <v/>
      </c>
    </row>
    <row r="53">
      <c r="A53" s="26" t="n">
        <v>46083</v>
      </c>
      <c r="B53" t="inlineStr">
        <is>
          <t>ops</t>
        </is>
      </c>
      <c r="C53" t="inlineStr">
        <is>
          <t>merges, promotions &amp; deploys</t>
        </is>
      </c>
      <c r="D53" t="inlineStr"/>
      <c r="E53" t="inlineStr"/>
      <c r="F53" t="inlineStr">
        <is>
          <t>claude-haiku-4-5-20251001</t>
        </is>
      </c>
      <c r="G53" t="inlineStr">
        <is>
          <t>claude-haiku-4-5</t>
        </is>
      </c>
      <c r="H53" s="36" t="n">
        <v>1</v>
      </c>
      <c r="I53" s="36" t="n">
        <v>294</v>
      </c>
      <c r="J53" s="36" t="n">
        <v>1294</v>
      </c>
      <c r="K53" s="36" t="n">
        <v>4941</v>
      </c>
      <c r="L53" s="36" t="n">
        <v>101176</v>
      </c>
      <c r="M53" s="36" t="n">
        <v>1117</v>
      </c>
      <c r="N53" s="14">
        <f>IFERROR((I53*VLOOKUP($G53,'Claude Prices'!$A$5:$G$22,3,FALSE)+J53*VLOOKUP($G53,'Claude Prices'!$A$5:$G$22,4,FALSE)+K53*VLOOKUP($G53,'Claude Prices'!$A$5:$G$22,5,FALSE)+L53*VLOOKUP($G53,'Claude Prices'!$A$5:$G$22,6,FALSE)+M53*VLOOKUP($G53,'Claude Prices'!$A$5:$G$22,7,FALSE))/1000000,0)</f>
        <v/>
      </c>
      <c r="O53" s="14">
        <f>N53*ClaudeFxRate</f>
        <v/>
      </c>
    </row>
    <row r="54">
      <c r="A54" s="26" t="n">
        <v>46084</v>
      </c>
      <c r="B54" t="inlineStr">
        <is>
          <t>story</t>
        </is>
      </c>
      <c r="C54" t="inlineStr">
        <is>
          <t>FAL-11</t>
        </is>
      </c>
      <c r="D54" t="inlineStr">
        <is>
          <t>1.1</t>
        </is>
      </c>
      <c r="E54" t="inlineStr">
        <is>
          <t>Sign in with Entra ID</t>
        </is>
      </c>
      <c r="F54" t="inlineStr">
        <is>
          <t>claude-sonnet-5</t>
        </is>
      </c>
      <c r="G54" t="inlineStr">
        <is>
          <t>claude-sonnet-5</t>
        </is>
      </c>
      <c r="H54" s="36" t="n">
        <v>17</v>
      </c>
      <c r="I54" s="36" t="n">
        <v>3333</v>
      </c>
      <c r="J54" s="36" t="n">
        <v>41666</v>
      </c>
      <c r="K54" s="36" t="n">
        <v>175000</v>
      </c>
      <c r="L54" s="36" t="n">
        <v>2825000</v>
      </c>
      <c r="M54" s="36" t="n">
        <v>43333</v>
      </c>
      <c r="N54" s="14">
        <f>IFERROR((I54*VLOOKUP($G54,'Claude Prices'!$A$5:$G$22,3,FALSE)+J54*VLOOKUP($G54,'Claude Prices'!$A$5:$G$22,4,FALSE)+K54*VLOOKUP($G54,'Claude Prices'!$A$5:$G$22,5,FALSE)+L54*VLOOKUP($G54,'Claude Prices'!$A$5:$G$22,6,FALSE)+M54*VLOOKUP($G54,'Claude Prices'!$A$5:$G$22,7,FALSE))/1000000,0)</f>
        <v/>
      </c>
      <c r="O54" s="14">
        <f>N54*ClaudeFxRate</f>
        <v/>
      </c>
    </row>
    <row r="55">
      <c r="A55" s="26" t="n">
        <v>46084</v>
      </c>
      <c r="B55" t="inlineStr">
        <is>
          <t>ops</t>
        </is>
      </c>
      <c r="C55" t="inlineStr">
        <is>
          <t>merges, promotions &amp; deploys</t>
        </is>
      </c>
      <c r="D55" t="inlineStr"/>
      <c r="E55" t="inlineStr"/>
      <c r="F55" t="inlineStr">
        <is>
          <t>claude-haiku-4-5-20251001</t>
        </is>
      </c>
      <c r="G55" t="inlineStr">
        <is>
          <t>claude-haiku-4-5</t>
        </is>
      </c>
      <c r="H55" s="36" t="n">
        <v>1</v>
      </c>
      <c r="I55" s="36" t="n">
        <v>294</v>
      </c>
      <c r="J55" s="36" t="n">
        <v>1294</v>
      </c>
      <c r="K55" s="36" t="n">
        <v>4941</v>
      </c>
      <c r="L55" s="36" t="n">
        <v>101176</v>
      </c>
      <c r="M55" s="36" t="n">
        <v>1117</v>
      </c>
      <c r="N55" s="14">
        <f>IFERROR((I55*VLOOKUP($G55,'Claude Prices'!$A$5:$G$22,3,FALSE)+J55*VLOOKUP($G55,'Claude Prices'!$A$5:$G$22,4,FALSE)+K55*VLOOKUP($G55,'Claude Prices'!$A$5:$G$22,5,FALSE)+L55*VLOOKUP($G55,'Claude Prices'!$A$5:$G$22,6,FALSE)+M55*VLOOKUP($G55,'Claude Prices'!$A$5:$G$22,7,FALSE))/1000000,0)</f>
        <v/>
      </c>
      <c r="O55" s="14">
        <f>N55*ClaudeFxRate</f>
        <v/>
      </c>
    </row>
    <row r="56">
      <c r="A56" s="26" t="n">
        <v>46085</v>
      </c>
      <c r="B56" t="inlineStr">
        <is>
          <t>story</t>
        </is>
      </c>
      <c r="C56" t="inlineStr">
        <is>
          <t>FAL-11</t>
        </is>
      </c>
      <c r="D56" t="inlineStr">
        <is>
          <t>1.1</t>
        </is>
      </c>
      <c r="E56" t="inlineStr">
        <is>
          <t>Sign in with Entra ID</t>
        </is>
      </c>
      <c r="F56" t="inlineStr">
        <is>
          <t>claude-sonnet-5</t>
        </is>
      </c>
      <c r="G56" t="inlineStr">
        <is>
          <t>claude-sonnet-5</t>
        </is>
      </c>
      <c r="H56" s="36" t="n">
        <v>17</v>
      </c>
      <c r="I56" s="36" t="n">
        <v>3333</v>
      </c>
      <c r="J56" s="36" t="n">
        <v>41666</v>
      </c>
      <c r="K56" s="36" t="n">
        <v>175000</v>
      </c>
      <c r="L56" s="36" t="n">
        <v>2825000</v>
      </c>
      <c r="M56" s="36" t="n">
        <v>43333</v>
      </c>
      <c r="N56" s="14">
        <f>IFERROR((I56*VLOOKUP($G56,'Claude Prices'!$A$5:$G$22,3,FALSE)+J56*VLOOKUP($G56,'Claude Prices'!$A$5:$G$22,4,FALSE)+K56*VLOOKUP($G56,'Claude Prices'!$A$5:$G$22,5,FALSE)+L56*VLOOKUP($G56,'Claude Prices'!$A$5:$G$22,6,FALSE)+M56*VLOOKUP($G56,'Claude Prices'!$A$5:$G$22,7,FALSE))/1000000,0)</f>
        <v/>
      </c>
      <c r="O56" s="14">
        <f>N56*ClaudeFxRate</f>
        <v/>
      </c>
    </row>
    <row r="57">
      <c r="A57" s="26" t="n">
        <v>46085</v>
      </c>
      <c r="B57" t="inlineStr">
        <is>
          <t>ops</t>
        </is>
      </c>
      <c r="C57" t="inlineStr">
        <is>
          <t>merges, promotions &amp; deploys</t>
        </is>
      </c>
      <c r="D57" t="inlineStr"/>
      <c r="E57" t="inlineStr"/>
      <c r="F57" t="inlineStr">
        <is>
          <t>claude-haiku-4-5-20251001</t>
        </is>
      </c>
      <c r="G57" t="inlineStr">
        <is>
          <t>claude-haiku-4-5</t>
        </is>
      </c>
      <c r="H57" s="36" t="n">
        <v>1</v>
      </c>
      <c r="I57" s="36" t="n">
        <v>294</v>
      </c>
      <c r="J57" s="36" t="n">
        <v>1294</v>
      </c>
      <c r="K57" s="36" t="n">
        <v>4941</v>
      </c>
      <c r="L57" s="36" t="n">
        <v>101176</v>
      </c>
      <c r="M57" s="36" t="n">
        <v>1117</v>
      </c>
      <c r="N57" s="14">
        <f>IFERROR((I57*VLOOKUP($G57,'Claude Prices'!$A$5:$G$22,3,FALSE)+J57*VLOOKUP($G57,'Claude Prices'!$A$5:$G$22,4,FALSE)+K57*VLOOKUP($G57,'Claude Prices'!$A$5:$G$22,5,FALSE)+L57*VLOOKUP($G57,'Claude Prices'!$A$5:$G$22,6,FALSE)+M57*VLOOKUP($G57,'Claude Prices'!$A$5:$G$22,7,FALSE))/1000000,0)</f>
        <v/>
      </c>
      <c r="O57" s="14">
        <f>N57*ClaudeFxRate</f>
        <v/>
      </c>
    </row>
    <row r="58">
      <c r="A58" s="26" t="n">
        <v>46086</v>
      </c>
      <c r="B58" t="inlineStr">
        <is>
          <t>story</t>
        </is>
      </c>
      <c r="C58" t="inlineStr">
        <is>
          <t>FAL-11</t>
        </is>
      </c>
      <c r="D58" t="inlineStr">
        <is>
          <t>1.1</t>
        </is>
      </c>
      <c r="E58" t="inlineStr">
        <is>
          <t>Sign in with Entra ID</t>
        </is>
      </c>
      <c r="F58" t="inlineStr">
        <is>
          <t>claude-sonnet-5</t>
        </is>
      </c>
      <c r="G58" t="inlineStr">
        <is>
          <t>claude-sonnet-5</t>
        </is>
      </c>
      <c r="H58" s="36" t="n">
        <v>17</v>
      </c>
      <c r="I58" s="36" t="n">
        <v>3333</v>
      </c>
      <c r="J58" s="36" t="n">
        <v>41666</v>
      </c>
      <c r="K58" s="36" t="n">
        <v>175000</v>
      </c>
      <c r="L58" s="36" t="n">
        <v>2825000</v>
      </c>
      <c r="M58" s="36" t="n">
        <v>43333</v>
      </c>
      <c r="N58" s="14">
        <f>IFERROR((I58*VLOOKUP($G58,'Claude Prices'!$A$5:$G$22,3,FALSE)+J58*VLOOKUP($G58,'Claude Prices'!$A$5:$G$22,4,FALSE)+K58*VLOOKUP($G58,'Claude Prices'!$A$5:$G$22,5,FALSE)+L58*VLOOKUP($G58,'Claude Prices'!$A$5:$G$22,6,FALSE)+M58*VLOOKUP($G58,'Claude Prices'!$A$5:$G$22,7,FALSE))/1000000,0)</f>
        <v/>
      </c>
      <c r="O58" s="14">
        <f>N58*ClaudeFxRate</f>
        <v/>
      </c>
    </row>
    <row r="59">
      <c r="A59" s="26" t="n">
        <v>46086</v>
      </c>
      <c r="B59" t="inlineStr">
        <is>
          <t>ops</t>
        </is>
      </c>
      <c r="C59" t="inlineStr">
        <is>
          <t>merges, promotions &amp; deploys</t>
        </is>
      </c>
      <c r="D59" t="inlineStr"/>
      <c r="E59" t="inlineStr"/>
      <c r="F59" t="inlineStr">
        <is>
          <t>claude-haiku-4-5-20251001</t>
        </is>
      </c>
      <c r="G59" t="inlineStr">
        <is>
          <t>claude-haiku-4-5</t>
        </is>
      </c>
      <c r="H59" s="36" t="n">
        <v>1</v>
      </c>
      <c r="I59" s="36" t="n">
        <v>294</v>
      </c>
      <c r="J59" s="36" t="n">
        <v>1294</v>
      </c>
      <c r="K59" s="36" t="n">
        <v>4941</v>
      </c>
      <c r="L59" s="36" t="n">
        <v>101176</v>
      </c>
      <c r="M59" s="36" t="n">
        <v>1117</v>
      </c>
      <c r="N59" s="14">
        <f>IFERROR((I59*VLOOKUP($G59,'Claude Prices'!$A$5:$G$22,3,FALSE)+J59*VLOOKUP($G59,'Claude Prices'!$A$5:$G$22,4,FALSE)+K59*VLOOKUP($G59,'Claude Prices'!$A$5:$G$22,5,FALSE)+L59*VLOOKUP($G59,'Claude Prices'!$A$5:$G$22,6,FALSE)+M59*VLOOKUP($G59,'Claude Prices'!$A$5:$G$22,7,FALSE))/1000000,0)</f>
        <v/>
      </c>
      <c r="O59" s="14">
        <f>N59*ClaudeFxRate</f>
        <v/>
      </c>
    </row>
    <row r="60">
      <c r="A60" s="26" t="n">
        <v>46087</v>
      </c>
      <c r="B60" t="inlineStr">
        <is>
          <t>story</t>
        </is>
      </c>
      <c r="C60" t="inlineStr">
        <is>
          <t>FAL-11</t>
        </is>
      </c>
      <c r="D60" t="inlineStr">
        <is>
          <t>1.1</t>
        </is>
      </c>
      <c r="E60" t="inlineStr">
        <is>
          <t>Sign in with Entra ID</t>
        </is>
      </c>
      <c r="F60" t="inlineStr">
        <is>
          <t>claude-sonnet-5</t>
        </is>
      </c>
      <c r="G60" t="inlineStr">
        <is>
          <t>claude-sonnet-5</t>
        </is>
      </c>
      <c r="H60" s="36" t="n">
        <v>17</v>
      </c>
      <c r="I60" s="36" t="n">
        <v>3333</v>
      </c>
      <c r="J60" s="36" t="n">
        <v>41666</v>
      </c>
      <c r="K60" s="36" t="n">
        <v>175000</v>
      </c>
      <c r="L60" s="36" t="n">
        <v>2825000</v>
      </c>
      <c r="M60" s="36" t="n">
        <v>43333</v>
      </c>
      <c r="N60" s="14">
        <f>IFERROR((I60*VLOOKUP($G60,'Claude Prices'!$A$5:$G$22,3,FALSE)+J60*VLOOKUP($G60,'Claude Prices'!$A$5:$G$22,4,FALSE)+K60*VLOOKUP($G60,'Claude Prices'!$A$5:$G$22,5,FALSE)+L60*VLOOKUP($G60,'Claude Prices'!$A$5:$G$22,6,FALSE)+M60*VLOOKUP($G60,'Claude Prices'!$A$5:$G$22,7,FALSE))/1000000,0)</f>
        <v/>
      </c>
      <c r="O60" s="14">
        <f>N60*ClaudeFxRate</f>
        <v/>
      </c>
    </row>
    <row r="61">
      <c r="A61" s="26" t="n">
        <v>46087</v>
      </c>
      <c r="B61" t="inlineStr">
        <is>
          <t>ops</t>
        </is>
      </c>
      <c r="C61" t="inlineStr">
        <is>
          <t>merges, promotions &amp; deploys</t>
        </is>
      </c>
      <c r="D61" t="inlineStr"/>
      <c r="E61" t="inlineStr"/>
      <c r="F61" t="inlineStr">
        <is>
          <t>claude-haiku-4-5-20251001</t>
        </is>
      </c>
      <c r="G61" t="inlineStr">
        <is>
          <t>claude-haiku-4-5</t>
        </is>
      </c>
      <c r="H61" s="36" t="n">
        <v>1</v>
      </c>
      <c r="I61" s="36" t="n">
        <v>294</v>
      </c>
      <c r="J61" s="36" t="n">
        <v>1294</v>
      </c>
      <c r="K61" s="36" t="n">
        <v>4941</v>
      </c>
      <c r="L61" s="36" t="n">
        <v>101176</v>
      </c>
      <c r="M61" s="36" t="n">
        <v>1117</v>
      </c>
      <c r="N61" s="14">
        <f>IFERROR((I61*VLOOKUP($G61,'Claude Prices'!$A$5:$G$22,3,FALSE)+J61*VLOOKUP($G61,'Claude Prices'!$A$5:$G$22,4,FALSE)+K61*VLOOKUP($G61,'Claude Prices'!$A$5:$G$22,5,FALSE)+L61*VLOOKUP($G61,'Claude Prices'!$A$5:$G$22,6,FALSE)+M61*VLOOKUP($G61,'Claude Prices'!$A$5:$G$22,7,FALSE))/1000000,0)</f>
        <v/>
      </c>
      <c r="O61" s="14">
        <f>N61*ClaudeFxRate</f>
        <v/>
      </c>
    </row>
    <row r="62">
      <c r="A62" s="26" t="n">
        <v>46090</v>
      </c>
      <c r="B62" t="inlineStr">
        <is>
          <t>story</t>
        </is>
      </c>
      <c r="C62" t="inlineStr">
        <is>
          <t>FAL-11</t>
        </is>
      </c>
      <c r="D62" t="inlineStr">
        <is>
          <t>1.1</t>
        </is>
      </c>
      <c r="E62" t="inlineStr">
        <is>
          <t>Sign in with Entra ID</t>
        </is>
      </c>
      <c r="F62" t="inlineStr">
        <is>
          <t>claude-sonnet-5</t>
        </is>
      </c>
      <c r="G62" t="inlineStr">
        <is>
          <t>claude-sonnet-5</t>
        </is>
      </c>
      <c r="H62" s="36" t="n">
        <v>17</v>
      </c>
      <c r="I62" s="36" t="n">
        <v>3333</v>
      </c>
      <c r="J62" s="36" t="n">
        <v>41666</v>
      </c>
      <c r="K62" s="36" t="n">
        <v>175000</v>
      </c>
      <c r="L62" s="36" t="n">
        <v>2825000</v>
      </c>
      <c r="M62" s="36" t="n">
        <v>43333</v>
      </c>
      <c r="N62" s="14">
        <f>IFERROR((I62*VLOOKUP($G62,'Claude Prices'!$A$5:$G$22,3,FALSE)+J62*VLOOKUP($G62,'Claude Prices'!$A$5:$G$22,4,FALSE)+K62*VLOOKUP($G62,'Claude Prices'!$A$5:$G$22,5,FALSE)+L62*VLOOKUP($G62,'Claude Prices'!$A$5:$G$22,6,FALSE)+M62*VLOOKUP($G62,'Claude Prices'!$A$5:$G$22,7,FALSE))/1000000,0)</f>
        <v/>
      </c>
      <c r="O62" s="14">
        <f>N62*ClaudeFxRate</f>
        <v/>
      </c>
    </row>
    <row r="63">
      <c r="A63" s="26" t="n">
        <v>46090</v>
      </c>
      <c r="B63" t="inlineStr">
        <is>
          <t>ops</t>
        </is>
      </c>
      <c r="C63" t="inlineStr">
        <is>
          <t>merges, promotions &amp; deploys</t>
        </is>
      </c>
      <c r="D63" t="inlineStr"/>
      <c r="E63" t="inlineStr"/>
      <c r="F63" t="inlineStr">
        <is>
          <t>claude-haiku-4-5-20251001</t>
        </is>
      </c>
      <c r="G63" t="inlineStr">
        <is>
          <t>claude-haiku-4-5</t>
        </is>
      </c>
      <c r="H63" s="36" t="n">
        <v>1</v>
      </c>
      <c r="I63" s="36" t="n">
        <v>294</v>
      </c>
      <c r="J63" s="36" t="n">
        <v>1294</v>
      </c>
      <c r="K63" s="36" t="n">
        <v>4941</v>
      </c>
      <c r="L63" s="36" t="n">
        <v>101176</v>
      </c>
      <c r="M63" s="36" t="n">
        <v>1117</v>
      </c>
      <c r="N63" s="14">
        <f>IFERROR((I63*VLOOKUP($G63,'Claude Prices'!$A$5:$G$22,3,FALSE)+J63*VLOOKUP($G63,'Claude Prices'!$A$5:$G$22,4,FALSE)+K63*VLOOKUP($G63,'Claude Prices'!$A$5:$G$22,5,FALSE)+L63*VLOOKUP($G63,'Claude Prices'!$A$5:$G$22,6,FALSE)+M63*VLOOKUP($G63,'Claude Prices'!$A$5:$G$22,7,FALSE))/1000000,0)</f>
        <v/>
      </c>
      <c r="O63" s="14">
        <f>N63*ClaudeFxRate</f>
        <v/>
      </c>
    </row>
    <row r="64">
      <c r="A64" s="26" t="n">
        <v>46091</v>
      </c>
      <c r="B64" t="inlineStr">
        <is>
          <t>story</t>
        </is>
      </c>
      <c r="C64" t="inlineStr">
        <is>
          <t>FAL-11</t>
        </is>
      </c>
      <c r="D64" t="inlineStr">
        <is>
          <t>1.1</t>
        </is>
      </c>
      <c r="E64" t="inlineStr">
        <is>
          <t>Sign in with Entra ID</t>
        </is>
      </c>
      <c r="F64" t="inlineStr">
        <is>
          <t>claude-sonnet-5</t>
        </is>
      </c>
      <c r="G64" t="inlineStr">
        <is>
          <t>claude-sonnet-5</t>
        </is>
      </c>
      <c r="H64" s="36" t="n">
        <v>17</v>
      </c>
      <c r="I64" s="36" t="n">
        <v>3333</v>
      </c>
      <c r="J64" s="36" t="n">
        <v>41666</v>
      </c>
      <c r="K64" s="36" t="n">
        <v>175000</v>
      </c>
      <c r="L64" s="36" t="n">
        <v>2825000</v>
      </c>
      <c r="M64" s="36" t="n">
        <v>43333</v>
      </c>
      <c r="N64" s="14">
        <f>IFERROR((I64*VLOOKUP($G64,'Claude Prices'!$A$5:$G$22,3,FALSE)+J64*VLOOKUP($G64,'Claude Prices'!$A$5:$G$22,4,FALSE)+K64*VLOOKUP($G64,'Claude Prices'!$A$5:$G$22,5,FALSE)+L64*VLOOKUP($G64,'Claude Prices'!$A$5:$G$22,6,FALSE)+M64*VLOOKUP($G64,'Claude Prices'!$A$5:$G$22,7,FALSE))/1000000,0)</f>
        <v/>
      </c>
      <c r="O64" s="14">
        <f>N64*ClaudeFxRate</f>
        <v/>
      </c>
    </row>
    <row r="65">
      <c r="A65" s="26" t="n">
        <v>46091</v>
      </c>
      <c r="B65" t="inlineStr">
        <is>
          <t>ops</t>
        </is>
      </c>
      <c r="C65" t="inlineStr">
        <is>
          <t>merges, promotions &amp; deploys</t>
        </is>
      </c>
      <c r="D65" t="inlineStr"/>
      <c r="E65" t="inlineStr"/>
      <c r="F65" t="inlineStr">
        <is>
          <t>claude-haiku-4-5-20251001</t>
        </is>
      </c>
      <c r="G65" t="inlineStr">
        <is>
          <t>claude-haiku-4-5</t>
        </is>
      </c>
      <c r="H65" s="36" t="n">
        <v>1</v>
      </c>
      <c r="I65" s="36" t="n">
        <v>294</v>
      </c>
      <c r="J65" s="36" t="n">
        <v>1294</v>
      </c>
      <c r="K65" s="36" t="n">
        <v>4941</v>
      </c>
      <c r="L65" s="36" t="n">
        <v>101176</v>
      </c>
      <c r="M65" s="36" t="n">
        <v>1117</v>
      </c>
      <c r="N65" s="14">
        <f>IFERROR((I65*VLOOKUP($G65,'Claude Prices'!$A$5:$G$22,3,FALSE)+J65*VLOOKUP($G65,'Claude Prices'!$A$5:$G$22,4,FALSE)+K65*VLOOKUP($G65,'Claude Prices'!$A$5:$G$22,5,FALSE)+L65*VLOOKUP($G65,'Claude Prices'!$A$5:$G$22,6,FALSE)+M65*VLOOKUP($G65,'Claude Prices'!$A$5:$G$22,7,FALSE))/1000000,0)</f>
        <v/>
      </c>
      <c r="O65" s="14">
        <f>N65*ClaudeFxRate</f>
        <v/>
      </c>
    </row>
    <row r="66">
      <c r="A66" s="26" t="n">
        <v>46092</v>
      </c>
      <c r="B66" t="inlineStr">
        <is>
          <t>story</t>
        </is>
      </c>
      <c r="C66" t="inlineStr">
        <is>
          <t>FAL-11</t>
        </is>
      </c>
      <c r="D66" t="inlineStr">
        <is>
          <t>1.1</t>
        </is>
      </c>
      <c r="E66" t="inlineStr">
        <is>
          <t>Sign in with Entra ID</t>
        </is>
      </c>
      <c r="F66" t="inlineStr">
        <is>
          <t>claude-sonnet-5</t>
        </is>
      </c>
      <c r="G66" t="inlineStr">
        <is>
          <t>claude-sonnet-5</t>
        </is>
      </c>
      <c r="H66" s="36" t="n">
        <v>17</v>
      </c>
      <c r="I66" s="36" t="n">
        <v>3333</v>
      </c>
      <c r="J66" s="36" t="n">
        <v>41666</v>
      </c>
      <c r="K66" s="36" t="n">
        <v>175000</v>
      </c>
      <c r="L66" s="36" t="n">
        <v>2825000</v>
      </c>
      <c r="M66" s="36" t="n">
        <v>43333</v>
      </c>
      <c r="N66" s="14">
        <f>IFERROR((I66*VLOOKUP($G66,'Claude Prices'!$A$5:$G$22,3,FALSE)+J66*VLOOKUP($G66,'Claude Prices'!$A$5:$G$22,4,FALSE)+K66*VLOOKUP($G66,'Claude Prices'!$A$5:$G$22,5,FALSE)+L66*VLOOKUP($G66,'Claude Prices'!$A$5:$G$22,6,FALSE)+M66*VLOOKUP($G66,'Claude Prices'!$A$5:$G$22,7,FALSE))/1000000,0)</f>
        <v/>
      </c>
      <c r="O66" s="14">
        <f>N66*ClaudeFxRate</f>
        <v/>
      </c>
    </row>
    <row r="67">
      <c r="A67" s="26" t="n">
        <v>46092</v>
      </c>
      <c r="B67" t="inlineStr">
        <is>
          <t>ops</t>
        </is>
      </c>
      <c r="C67" t="inlineStr">
        <is>
          <t>merges, promotions &amp; deploys</t>
        </is>
      </c>
      <c r="D67" t="inlineStr"/>
      <c r="E67" t="inlineStr"/>
      <c r="F67" t="inlineStr">
        <is>
          <t>claude-haiku-4-5-20251001</t>
        </is>
      </c>
      <c r="G67" t="inlineStr">
        <is>
          <t>claude-haiku-4-5</t>
        </is>
      </c>
      <c r="H67" s="36" t="n">
        <v>1</v>
      </c>
      <c r="I67" s="36" t="n">
        <v>294</v>
      </c>
      <c r="J67" s="36" t="n">
        <v>1294</v>
      </c>
      <c r="K67" s="36" t="n">
        <v>4941</v>
      </c>
      <c r="L67" s="36" t="n">
        <v>101176</v>
      </c>
      <c r="M67" s="36" t="n">
        <v>1117</v>
      </c>
      <c r="N67" s="14">
        <f>IFERROR((I67*VLOOKUP($G67,'Claude Prices'!$A$5:$G$22,3,FALSE)+J67*VLOOKUP($G67,'Claude Prices'!$A$5:$G$22,4,FALSE)+K67*VLOOKUP($G67,'Claude Prices'!$A$5:$G$22,5,FALSE)+L67*VLOOKUP($G67,'Claude Prices'!$A$5:$G$22,6,FALSE)+M67*VLOOKUP($G67,'Claude Prices'!$A$5:$G$22,7,FALSE))/1000000,0)</f>
        <v/>
      </c>
      <c r="O67" s="14">
        <f>N67*ClaudeFxRate</f>
        <v/>
      </c>
    </row>
    <row r="68">
      <c r="A68" s="26" t="n">
        <v>46093</v>
      </c>
      <c r="B68" t="inlineStr">
        <is>
          <t>story</t>
        </is>
      </c>
      <c r="C68" t="inlineStr">
        <is>
          <t>FAL-11</t>
        </is>
      </c>
      <c r="D68" t="inlineStr">
        <is>
          <t>1.1</t>
        </is>
      </c>
      <c r="E68" t="inlineStr">
        <is>
          <t>Sign in with Entra ID</t>
        </is>
      </c>
      <c r="F68" t="inlineStr">
        <is>
          <t>claude-sonnet-5</t>
        </is>
      </c>
      <c r="G68" t="inlineStr">
        <is>
          <t>claude-sonnet-5</t>
        </is>
      </c>
      <c r="H68" s="36" t="n">
        <v>17</v>
      </c>
      <c r="I68" s="36" t="n">
        <v>3333</v>
      </c>
      <c r="J68" s="36" t="n">
        <v>41666</v>
      </c>
      <c r="K68" s="36" t="n">
        <v>175000</v>
      </c>
      <c r="L68" s="36" t="n">
        <v>2825000</v>
      </c>
      <c r="M68" s="36" t="n">
        <v>43333</v>
      </c>
      <c r="N68" s="14">
        <f>IFERROR((I68*VLOOKUP($G68,'Claude Prices'!$A$5:$G$22,3,FALSE)+J68*VLOOKUP($G68,'Claude Prices'!$A$5:$G$22,4,FALSE)+K68*VLOOKUP($G68,'Claude Prices'!$A$5:$G$22,5,FALSE)+L68*VLOOKUP($G68,'Claude Prices'!$A$5:$G$22,6,FALSE)+M68*VLOOKUP($G68,'Claude Prices'!$A$5:$G$22,7,FALSE))/1000000,0)</f>
        <v/>
      </c>
      <c r="O68" s="14">
        <f>N68*ClaudeFxRate</f>
        <v/>
      </c>
    </row>
    <row r="69">
      <c r="A69" s="26" t="n">
        <v>46093</v>
      </c>
      <c r="B69" t="inlineStr">
        <is>
          <t>ops</t>
        </is>
      </c>
      <c r="C69" t="inlineStr">
        <is>
          <t>merges, promotions &amp; deploys</t>
        </is>
      </c>
      <c r="D69" t="inlineStr"/>
      <c r="E69" t="inlineStr"/>
      <c r="F69" t="inlineStr">
        <is>
          <t>claude-haiku-4-5-20251001</t>
        </is>
      </c>
      <c r="G69" t="inlineStr">
        <is>
          <t>claude-haiku-4-5</t>
        </is>
      </c>
      <c r="H69" s="36" t="n">
        <v>1</v>
      </c>
      <c r="I69" s="36" t="n">
        <v>294</v>
      </c>
      <c r="J69" s="36" t="n">
        <v>1294</v>
      </c>
      <c r="K69" s="36" t="n">
        <v>4941</v>
      </c>
      <c r="L69" s="36" t="n">
        <v>101176</v>
      </c>
      <c r="M69" s="36" t="n">
        <v>1117</v>
      </c>
      <c r="N69" s="14">
        <f>IFERROR((I69*VLOOKUP($G69,'Claude Prices'!$A$5:$G$22,3,FALSE)+J69*VLOOKUP($G69,'Claude Prices'!$A$5:$G$22,4,FALSE)+K69*VLOOKUP($G69,'Claude Prices'!$A$5:$G$22,5,FALSE)+L69*VLOOKUP($G69,'Claude Prices'!$A$5:$G$22,6,FALSE)+M69*VLOOKUP($G69,'Claude Prices'!$A$5:$G$22,7,FALSE))/1000000,0)</f>
        <v/>
      </c>
      <c r="O69" s="14">
        <f>N69*ClaudeFxRate</f>
        <v/>
      </c>
    </row>
    <row r="70">
      <c r="A70" s="26" t="n">
        <v>46094</v>
      </c>
      <c r="B70" t="inlineStr">
        <is>
          <t>story</t>
        </is>
      </c>
      <c r="C70" t="inlineStr">
        <is>
          <t>FAL-11</t>
        </is>
      </c>
      <c r="D70" t="inlineStr">
        <is>
          <t>1.1</t>
        </is>
      </c>
      <c r="E70" t="inlineStr">
        <is>
          <t>Sign in with Entra ID</t>
        </is>
      </c>
      <c r="F70" t="inlineStr">
        <is>
          <t>claude-sonnet-5</t>
        </is>
      </c>
      <c r="G70" t="inlineStr">
        <is>
          <t>claude-sonnet-5</t>
        </is>
      </c>
      <c r="H70" s="36" t="n">
        <v>17</v>
      </c>
      <c r="I70" s="36" t="n">
        <v>3333</v>
      </c>
      <c r="J70" s="36" t="n">
        <v>41666</v>
      </c>
      <c r="K70" s="36" t="n">
        <v>175000</v>
      </c>
      <c r="L70" s="36" t="n">
        <v>2825000</v>
      </c>
      <c r="M70" s="36" t="n">
        <v>43333</v>
      </c>
      <c r="N70" s="14">
        <f>IFERROR((I70*VLOOKUP($G70,'Claude Prices'!$A$5:$G$22,3,FALSE)+J70*VLOOKUP($G70,'Claude Prices'!$A$5:$G$22,4,FALSE)+K70*VLOOKUP($G70,'Claude Prices'!$A$5:$G$22,5,FALSE)+L70*VLOOKUP($G70,'Claude Prices'!$A$5:$G$22,6,FALSE)+M70*VLOOKUP($G70,'Claude Prices'!$A$5:$G$22,7,FALSE))/1000000,0)</f>
        <v/>
      </c>
      <c r="O70" s="14">
        <f>N70*ClaudeFxRate</f>
        <v/>
      </c>
    </row>
    <row r="71">
      <c r="A71" s="26" t="n">
        <v>46094</v>
      </c>
      <c r="B71" t="inlineStr">
        <is>
          <t>ops</t>
        </is>
      </c>
      <c r="C71" t="inlineStr">
        <is>
          <t>merges, promotions &amp; deploys</t>
        </is>
      </c>
      <c r="D71" t="inlineStr"/>
      <c r="E71" t="inlineStr"/>
      <c r="F71" t="inlineStr">
        <is>
          <t>claude-haiku-4-5-20251001</t>
        </is>
      </c>
      <c r="G71" t="inlineStr">
        <is>
          <t>claude-haiku-4-5</t>
        </is>
      </c>
      <c r="H71" s="36" t="n">
        <v>1</v>
      </c>
      <c r="I71" s="36" t="n">
        <v>294</v>
      </c>
      <c r="J71" s="36" t="n">
        <v>1294</v>
      </c>
      <c r="K71" s="36" t="n">
        <v>4941</v>
      </c>
      <c r="L71" s="36" t="n">
        <v>101176</v>
      </c>
      <c r="M71" s="36" t="n">
        <v>1117</v>
      </c>
      <c r="N71" s="14">
        <f>IFERROR((I71*VLOOKUP($G71,'Claude Prices'!$A$5:$G$22,3,FALSE)+J71*VLOOKUP($G71,'Claude Prices'!$A$5:$G$22,4,FALSE)+K71*VLOOKUP($G71,'Claude Prices'!$A$5:$G$22,5,FALSE)+L71*VLOOKUP($G71,'Claude Prices'!$A$5:$G$22,6,FALSE)+M71*VLOOKUP($G71,'Claude Prices'!$A$5:$G$22,7,FALSE))/1000000,0)</f>
        <v/>
      </c>
      <c r="O71" s="14">
        <f>N71*ClaudeFxRate</f>
        <v/>
      </c>
    </row>
    <row r="72">
      <c r="A72" s="26" t="n">
        <v>46097</v>
      </c>
      <c r="B72" t="inlineStr">
        <is>
          <t>story</t>
        </is>
      </c>
      <c r="C72" t="inlineStr">
        <is>
          <t>FAL-11</t>
        </is>
      </c>
      <c r="D72" t="inlineStr">
        <is>
          <t>1.1</t>
        </is>
      </c>
      <c r="E72" t="inlineStr">
        <is>
          <t>Sign in with Entra ID</t>
        </is>
      </c>
      <c r="F72" t="inlineStr">
        <is>
          <t>claude-sonnet-5</t>
        </is>
      </c>
      <c r="G72" t="inlineStr">
        <is>
          <t>claude-sonnet-5</t>
        </is>
      </c>
      <c r="H72" s="36" t="n">
        <v>17</v>
      </c>
      <c r="I72" s="36" t="n">
        <v>3333</v>
      </c>
      <c r="J72" s="36" t="n">
        <v>41666</v>
      </c>
      <c r="K72" s="36" t="n">
        <v>175000</v>
      </c>
      <c r="L72" s="36" t="n">
        <v>2825000</v>
      </c>
      <c r="M72" s="36" t="n">
        <v>43333</v>
      </c>
      <c r="N72" s="14">
        <f>IFERROR((I72*VLOOKUP($G72,'Claude Prices'!$A$5:$G$22,3,FALSE)+J72*VLOOKUP($G72,'Claude Prices'!$A$5:$G$22,4,FALSE)+K72*VLOOKUP($G72,'Claude Prices'!$A$5:$G$22,5,FALSE)+L72*VLOOKUP($G72,'Claude Prices'!$A$5:$G$22,6,FALSE)+M72*VLOOKUP($G72,'Claude Prices'!$A$5:$G$22,7,FALSE))/1000000,0)</f>
        <v/>
      </c>
      <c r="O72" s="14">
        <f>N72*ClaudeFxRate</f>
        <v/>
      </c>
    </row>
    <row r="73">
      <c r="A73" s="26" t="n">
        <v>46097</v>
      </c>
      <c r="B73" t="inlineStr">
        <is>
          <t>ops</t>
        </is>
      </c>
      <c r="C73" t="inlineStr">
        <is>
          <t>merges, promotions &amp; deploys</t>
        </is>
      </c>
      <c r="D73" t="inlineStr"/>
      <c r="E73" t="inlineStr"/>
      <c r="F73" t="inlineStr">
        <is>
          <t>claude-haiku-4-5-20251001</t>
        </is>
      </c>
      <c r="G73" t="inlineStr">
        <is>
          <t>claude-haiku-4-5</t>
        </is>
      </c>
      <c r="H73" s="36" t="n">
        <v>1</v>
      </c>
      <c r="I73" s="36" t="n">
        <v>294</v>
      </c>
      <c r="J73" s="36" t="n">
        <v>1294</v>
      </c>
      <c r="K73" s="36" t="n">
        <v>4941</v>
      </c>
      <c r="L73" s="36" t="n">
        <v>101176</v>
      </c>
      <c r="M73" s="36" t="n">
        <v>1117</v>
      </c>
      <c r="N73" s="14">
        <f>IFERROR((I73*VLOOKUP($G73,'Claude Prices'!$A$5:$G$22,3,FALSE)+J73*VLOOKUP($G73,'Claude Prices'!$A$5:$G$22,4,FALSE)+K73*VLOOKUP($G73,'Claude Prices'!$A$5:$G$22,5,FALSE)+L73*VLOOKUP($G73,'Claude Prices'!$A$5:$G$22,6,FALSE)+M73*VLOOKUP($G73,'Claude Prices'!$A$5:$G$22,7,FALSE))/1000000,0)</f>
        <v/>
      </c>
      <c r="O73" s="14">
        <f>N73*ClaudeFxRate</f>
        <v/>
      </c>
    </row>
    <row r="74">
      <c r="A74" s="26" t="n">
        <v>46098</v>
      </c>
      <c r="B74" t="inlineStr">
        <is>
          <t>story</t>
        </is>
      </c>
      <c r="C74" t="inlineStr">
        <is>
          <t>FAL-11</t>
        </is>
      </c>
      <c r="D74" t="inlineStr">
        <is>
          <t>1.1</t>
        </is>
      </c>
      <c r="E74" t="inlineStr">
        <is>
          <t>Sign in with Entra ID</t>
        </is>
      </c>
      <c r="F74" t="inlineStr">
        <is>
          <t>claude-sonnet-5</t>
        </is>
      </c>
      <c r="G74" t="inlineStr">
        <is>
          <t>claude-sonnet-5</t>
        </is>
      </c>
      <c r="H74" s="36" t="n">
        <v>25</v>
      </c>
      <c r="I74" s="36" t="n">
        <v>3337</v>
      </c>
      <c r="J74" s="36" t="n">
        <v>41674</v>
      </c>
      <c r="K74" s="36" t="n">
        <v>175000</v>
      </c>
      <c r="L74" s="36" t="n">
        <v>2825000</v>
      </c>
      <c r="M74" s="36" t="n">
        <v>43337</v>
      </c>
      <c r="N74" s="14">
        <f>IFERROR((I74*VLOOKUP($G74,'Claude Prices'!$A$5:$G$22,3,FALSE)+J74*VLOOKUP($G74,'Claude Prices'!$A$5:$G$22,4,FALSE)+K74*VLOOKUP($G74,'Claude Prices'!$A$5:$G$22,5,FALSE)+L74*VLOOKUP($G74,'Claude Prices'!$A$5:$G$22,6,FALSE)+M74*VLOOKUP($G74,'Claude Prices'!$A$5:$G$22,7,FALSE))/1000000,0)</f>
        <v/>
      </c>
      <c r="O74" s="14">
        <f>N74*ClaudeFxRate</f>
        <v/>
      </c>
    </row>
    <row r="75">
      <c r="A75" s="26" t="n">
        <v>46098</v>
      </c>
      <c r="B75" t="inlineStr">
        <is>
          <t>ops</t>
        </is>
      </c>
      <c r="C75" t="inlineStr">
        <is>
          <t>merges, promotions &amp; deploys</t>
        </is>
      </c>
      <c r="D75" t="inlineStr"/>
      <c r="E75" t="inlineStr"/>
      <c r="F75" t="inlineStr">
        <is>
          <t>claude-haiku-4-5-20251001</t>
        </is>
      </c>
      <c r="G75" t="inlineStr">
        <is>
          <t>claude-haiku-4-5</t>
        </is>
      </c>
      <c r="H75" s="36" t="n">
        <v>1</v>
      </c>
      <c r="I75" s="36" t="n">
        <v>294</v>
      </c>
      <c r="J75" s="36" t="n">
        <v>1294</v>
      </c>
      <c r="K75" s="36" t="n">
        <v>4941</v>
      </c>
      <c r="L75" s="36" t="n">
        <v>101176</v>
      </c>
      <c r="M75" s="36" t="n">
        <v>1117</v>
      </c>
      <c r="N75" s="14">
        <f>IFERROR((I75*VLOOKUP($G75,'Claude Prices'!$A$5:$G$22,3,FALSE)+J75*VLOOKUP($G75,'Claude Prices'!$A$5:$G$22,4,FALSE)+K75*VLOOKUP($G75,'Claude Prices'!$A$5:$G$22,5,FALSE)+L75*VLOOKUP($G75,'Claude Prices'!$A$5:$G$22,6,FALSE)+M75*VLOOKUP($G75,'Claude Prices'!$A$5:$G$22,7,FALSE))/1000000,0)</f>
        <v/>
      </c>
      <c r="O75" s="14">
        <f>N75*ClaudeFxRate</f>
        <v/>
      </c>
    </row>
    <row r="76">
      <c r="A76" s="26" t="n">
        <v>46099</v>
      </c>
      <c r="B76" t="inlineStr">
        <is>
          <t>story</t>
        </is>
      </c>
      <c r="C76" t="inlineStr">
        <is>
          <t>FAL-12</t>
        </is>
      </c>
      <c r="D76" t="inlineStr">
        <is>
          <t>1.2</t>
        </is>
      </c>
      <c r="E76" t="inlineStr">
        <is>
          <t>Start an application</t>
        </is>
      </c>
      <c r="F76" t="inlineStr">
        <is>
          <t>claude-sonnet-5</t>
        </is>
      </c>
      <c r="G76" t="inlineStr">
        <is>
          <t>claude-sonnet-5</t>
        </is>
      </c>
      <c r="H76" s="36" t="n">
        <v>25</v>
      </c>
      <c r="I76" s="36" t="n">
        <v>4750</v>
      </c>
      <c r="J76" s="36" t="n">
        <v>60000</v>
      </c>
      <c r="K76" s="36" t="n">
        <v>250000</v>
      </c>
      <c r="L76" s="36" t="n">
        <v>4058333</v>
      </c>
      <c r="M76" s="36" t="n">
        <v>63333</v>
      </c>
      <c r="N76" s="14">
        <f>IFERROR((I76*VLOOKUP($G76,'Claude Prices'!$A$5:$G$22,3,FALSE)+J76*VLOOKUP($G76,'Claude Prices'!$A$5:$G$22,4,FALSE)+K76*VLOOKUP($G76,'Claude Prices'!$A$5:$G$22,5,FALSE)+L76*VLOOKUP($G76,'Claude Prices'!$A$5:$G$22,6,FALSE)+M76*VLOOKUP($G76,'Claude Prices'!$A$5:$G$22,7,FALSE))/1000000,0)</f>
        <v/>
      </c>
      <c r="O76" s="14">
        <f>N76*ClaudeFxRate</f>
        <v/>
      </c>
    </row>
    <row r="77">
      <c r="A77" s="26" t="n">
        <v>46099</v>
      </c>
      <c r="B77" t="inlineStr">
        <is>
          <t>ops</t>
        </is>
      </c>
      <c r="C77" t="inlineStr">
        <is>
          <t>merges, promotions &amp; deploys</t>
        </is>
      </c>
      <c r="D77" t="inlineStr"/>
      <c r="E77" t="inlineStr"/>
      <c r="F77" t="inlineStr">
        <is>
          <t>claude-haiku-4-5-20251001</t>
        </is>
      </c>
      <c r="G77" t="inlineStr">
        <is>
          <t>claude-haiku-4-5</t>
        </is>
      </c>
      <c r="H77" s="36" t="n">
        <v>1</v>
      </c>
      <c r="I77" s="36" t="n">
        <v>294</v>
      </c>
      <c r="J77" s="36" t="n">
        <v>1294</v>
      </c>
      <c r="K77" s="36" t="n">
        <v>4941</v>
      </c>
      <c r="L77" s="36" t="n">
        <v>101176</v>
      </c>
      <c r="M77" s="36" t="n">
        <v>1117</v>
      </c>
      <c r="N77" s="14">
        <f>IFERROR((I77*VLOOKUP($G77,'Claude Prices'!$A$5:$G$22,3,FALSE)+J77*VLOOKUP($G77,'Claude Prices'!$A$5:$G$22,4,FALSE)+K77*VLOOKUP($G77,'Claude Prices'!$A$5:$G$22,5,FALSE)+L77*VLOOKUP($G77,'Claude Prices'!$A$5:$G$22,6,FALSE)+M77*VLOOKUP($G77,'Claude Prices'!$A$5:$G$22,7,FALSE))/1000000,0)</f>
        <v/>
      </c>
      <c r="O77" s="14">
        <f>N77*ClaudeFxRate</f>
        <v/>
      </c>
    </row>
    <row r="78">
      <c r="A78" s="26" t="n">
        <v>46100</v>
      </c>
      <c r="B78" t="inlineStr">
        <is>
          <t>story</t>
        </is>
      </c>
      <c r="C78" t="inlineStr">
        <is>
          <t>FAL-12</t>
        </is>
      </c>
      <c r="D78" t="inlineStr">
        <is>
          <t>1.2</t>
        </is>
      </c>
      <c r="E78" t="inlineStr">
        <is>
          <t>Start an application</t>
        </is>
      </c>
      <c r="F78" t="inlineStr">
        <is>
          <t>claude-sonnet-5</t>
        </is>
      </c>
      <c r="G78" t="inlineStr">
        <is>
          <t>claude-sonnet-5</t>
        </is>
      </c>
      <c r="H78" s="36" t="n">
        <v>25</v>
      </c>
      <c r="I78" s="36" t="n">
        <v>4750</v>
      </c>
      <c r="J78" s="36" t="n">
        <v>60000</v>
      </c>
      <c r="K78" s="36" t="n">
        <v>250000</v>
      </c>
      <c r="L78" s="36" t="n">
        <v>4058333</v>
      </c>
      <c r="M78" s="36" t="n">
        <v>63333</v>
      </c>
      <c r="N78" s="14">
        <f>IFERROR((I78*VLOOKUP($G78,'Claude Prices'!$A$5:$G$22,3,FALSE)+J78*VLOOKUP($G78,'Claude Prices'!$A$5:$G$22,4,FALSE)+K78*VLOOKUP($G78,'Claude Prices'!$A$5:$G$22,5,FALSE)+L78*VLOOKUP($G78,'Claude Prices'!$A$5:$G$22,6,FALSE)+M78*VLOOKUP($G78,'Claude Prices'!$A$5:$G$22,7,FALSE))/1000000,0)</f>
        <v/>
      </c>
      <c r="O78" s="14">
        <f>N78*ClaudeFxRate</f>
        <v/>
      </c>
    </row>
    <row r="79">
      <c r="A79" s="26" t="n">
        <v>46100</v>
      </c>
      <c r="B79" t="inlineStr">
        <is>
          <t>ops</t>
        </is>
      </c>
      <c r="C79" t="inlineStr">
        <is>
          <t>merges, promotions &amp; deploys</t>
        </is>
      </c>
      <c r="D79" t="inlineStr"/>
      <c r="E79" t="inlineStr"/>
      <c r="F79" t="inlineStr">
        <is>
          <t>claude-haiku-4-5-20251001</t>
        </is>
      </c>
      <c r="G79" t="inlineStr">
        <is>
          <t>claude-haiku-4-5</t>
        </is>
      </c>
      <c r="H79" s="36" t="n">
        <v>1</v>
      </c>
      <c r="I79" s="36" t="n">
        <v>294</v>
      </c>
      <c r="J79" s="36" t="n">
        <v>1294</v>
      </c>
      <c r="K79" s="36" t="n">
        <v>4941</v>
      </c>
      <c r="L79" s="36" t="n">
        <v>101176</v>
      </c>
      <c r="M79" s="36" t="n">
        <v>1117</v>
      </c>
      <c r="N79" s="14">
        <f>IFERROR((I79*VLOOKUP($G79,'Claude Prices'!$A$5:$G$22,3,FALSE)+J79*VLOOKUP($G79,'Claude Prices'!$A$5:$G$22,4,FALSE)+K79*VLOOKUP($G79,'Claude Prices'!$A$5:$G$22,5,FALSE)+L79*VLOOKUP($G79,'Claude Prices'!$A$5:$G$22,6,FALSE)+M79*VLOOKUP($G79,'Claude Prices'!$A$5:$G$22,7,FALSE))/1000000,0)</f>
        <v/>
      </c>
      <c r="O79" s="14">
        <f>N79*ClaudeFxRate</f>
        <v/>
      </c>
    </row>
    <row r="80">
      <c r="A80" s="26" t="n">
        <v>46101</v>
      </c>
      <c r="B80" t="inlineStr">
        <is>
          <t>story</t>
        </is>
      </c>
      <c r="C80" t="inlineStr">
        <is>
          <t>FAL-12</t>
        </is>
      </c>
      <c r="D80" t="inlineStr">
        <is>
          <t>1.2</t>
        </is>
      </c>
      <c r="E80" t="inlineStr">
        <is>
          <t>Start an application</t>
        </is>
      </c>
      <c r="F80" t="inlineStr">
        <is>
          <t>claude-sonnet-5</t>
        </is>
      </c>
      <c r="G80" t="inlineStr">
        <is>
          <t>claude-sonnet-5</t>
        </is>
      </c>
      <c r="H80" s="36" t="n">
        <v>25</v>
      </c>
      <c r="I80" s="36" t="n">
        <v>4750</v>
      </c>
      <c r="J80" s="36" t="n">
        <v>60000</v>
      </c>
      <c r="K80" s="36" t="n">
        <v>250000</v>
      </c>
      <c r="L80" s="36" t="n">
        <v>4058333</v>
      </c>
      <c r="M80" s="36" t="n">
        <v>63333</v>
      </c>
      <c r="N80" s="14">
        <f>IFERROR((I80*VLOOKUP($G80,'Claude Prices'!$A$5:$G$22,3,FALSE)+J80*VLOOKUP($G80,'Claude Prices'!$A$5:$G$22,4,FALSE)+K80*VLOOKUP($G80,'Claude Prices'!$A$5:$G$22,5,FALSE)+L80*VLOOKUP($G80,'Claude Prices'!$A$5:$G$22,6,FALSE)+M80*VLOOKUP($G80,'Claude Prices'!$A$5:$G$22,7,FALSE))/1000000,0)</f>
        <v/>
      </c>
      <c r="O80" s="14">
        <f>N80*ClaudeFxRate</f>
        <v/>
      </c>
    </row>
    <row r="81">
      <c r="A81" s="26" t="n">
        <v>46101</v>
      </c>
      <c r="B81" t="inlineStr">
        <is>
          <t>ops</t>
        </is>
      </c>
      <c r="C81" t="inlineStr">
        <is>
          <t>merges, promotions &amp; deploys</t>
        </is>
      </c>
      <c r="D81" t="inlineStr"/>
      <c r="E81" t="inlineStr"/>
      <c r="F81" t="inlineStr">
        <is>
          <t>claude-haiku-4-5-20251001</t>
        </is>
      </c>
      <c r="G81" t="inlineStr">
        <is>
          <t>claude-haiku-4-5</t>
        </is>
      </c>
      <c r="H81" s="36" t="n">
        <v>1</v>
      </c>
      <c r="I81" s="36" t="n">
        <v>294</v>
      </c>
      <c r="J81" s="36" t="n">
        <v>1294</v>
      </c>
      <c r="K81" s="36" t="n">
        <v>4941</v>
      </c>
      <c r="L81" s="36" t="n">
        <v>101176</v>
      </c>
      <c r="M81" s="36" t="n">
        <v>1117</v>
      </c>
      <c r="N81" s="14">
        <f>IFERROR((I81*VLOOKUP($G81,'Claude Prices'!$A$5:$G$22,3,FALSE)+J81*VLOOKUP($G81,'Claude Prices'!$A$5:$G$22,4,FALSE)+K81*VLOOKUP($G81,'Claude Prices'!$A$5:$G$22,5,FALSE)+L81*VLOOKUP($G81,'Claude Prices'!$A$5:$G$22,6,FALSE)+M81*VLOOKUP($G81,'Claude Prices'!$A$5:$G$22,7,FALSE))/1000000,0)</f>
        <v/>
      </c>
      <c r="O81" s="14">
        <f>N81*ClaudeFxRate</f>
        <v/>
      </c>
    </row>
    <row r="82">
      <c r="A82" s="26" t="n">
        <v>46104</v>
      </c>
      <c r="B82" t="inlineStr">
        <is>
          <t>story</t>
        </is>
      </c>
      <c r="C82" t="inlineStr">
        <is>
          <t>FAL-12</t>
        </is>
      </c>
      <c r="D82" t="inlineStr">
        <is>
          <t>1.2</t>
        </is>
      </c>
      <c r="E82" t="inlineStr">
        <is>
          <t>Start an application</t>
        </is>
      </c>
      <c r="F82" t="inlineStr">
        <is>
          <t>claude-sonnet-5</t>
        </is>
      </c>
      <c r="G82" t="inlineStr">
        <is>
          <t>claude-sonnet-5</t>
        </is>
      </c>
      <c r="H82" s="36" t="n">
        <v>25</v>
      </c>
      <c r="I82" s="36" t="n">
        <v>4750</v>
      </c>
      <c r="J82" s="36" t="n">
        <v>60000</v>
      </c>
      <c r="K82" s="36" t="n">
        <v>250000</v>
      </c>
      <c r="L82" s="36" t="n">
        <v>4058333</v>
      </c>
      <c r="M82" s="36" t="n">
        <v>63333</v>
      </c>
      <c r="N82" s="14">
        <f>IFERROR((I82*VLOOKUP($G82,'Claude Prices'!$A$5:$G$22,3,FALSE)+J82*VLOOKUP($G82,'Claude Prices'!$A$5:$G$22,4,FALSE)+K82*VLOOKUP($G82,'Claude Prices'!$A$5:$G$22,5,FALSE)+L82*VLOOKUP($G82,'Claude Prices'!$A$5:$G$22,6,FALSE)+M82*VLOOKUP($G82,'Claude Prices'!$A$5:$G$22,7,FALSE))/1000000,0)</f>
        <v/>
      </c>
      <c r="O82" s="14">
        <f>N82*ClaudeFxRate</f>
        <v/>
      </c>
    </row>
    <row r="83">
      <c r="A83" s="26" t="n">
        <v>46104</v>
      </c>
      <c r="B83" t="inlineStr">
        <is>
          <t>ops</t>
        </is>
      </c>
      <c r="C83" t="inlineStr">
        <is>
          <t>merges, promotions &amp; deploys</t>
        </is>
      </c>
      <c r="D83" t="inlineStr"/>
      <c r="E83" t="inlineStr"/>
      <c r="F83" t="inlineStr">
        <is>
          <t>claude-haiku-4-5-20251001</t>
        </is>
      </c>
      <c r="G83" t="inlineStr">
        <is>
          <t>claude-haiku-4-5</t>
        </is>
      </c>
      <c r="H83" s="36" t="n">
        <v>1</v>
      </c>
      <c r="I83" s="36" t="n">
        <v>294</v>
      </c>
      <c r="J83" s="36" t="n">
        <v>1294</v>
      </c>
      <c r="K83" s="36" t="n">
        <v>4941</v>
      </c>
      <c r="L83" s="36" t="n">
        <v>101176</v>
      </c>
      <c r="M83" s="36" t="n">
        <v>1117</v>
      </c>
      <c r="N83" s="14">
        <f>IFERROR((I83*VLOOKUP($G83,'Claude Prices'!$A$5:$G$22,3,FALSE)+J83*VLOOKUP($G83,'Claude Prices'!$A$5:$G$22,4,FALSE)+K83*VLOOKUP($G83,'Claude Prices'!$A$5:$G$22,5,FALSE)+L83*VLOOKUP($G83,'Claude Prices'!$A$5:$G$22,6,FALSE)+M83*VLOOKUP($G83,'Claude Prices'!$A$5:$G$22,7,FALSE))/1000000,0)</f>
        <v/>
      </c>
      <c r="O83" s="14">
        <f>N83*ClaudeFxRate</f>
        <v/>
      </c>
    </row>
    <row r="84">
      <c r="A84" s="26" t="n">
        <v>46105</v>
      </c>
      <c r="B84" t="inlineStr">
        <is>
          <t>story</t>
        </is>
      </c>
      <c r="C84" t="inlineStr">
        <is>
          <t>FAL-12</t>
        </is>
      </c>
      <c r="D84" t="inlineStr">
        <is>
          <t>1.2</t>
        </is>
      </c>
      <c r="E84" t="inlineStr">
        <is>
          <t>Start an application</t>
        </is>
      </c>
      <c r="F84" t="inlineStr">
        <is>
          <t>claude-sonnet-5</t>
        </is>
      </c>
      <c r="G84" t="inlineStr">
        <is>
          <t>claude-sonnet-5</t>
        </is>
      </c>
      <c r="H84" s="36" t="n">
        <v>25</v>
      </c>
      <c r="I84" s="36" t="n">
        <v>4750</v>
      </c>
      <c r="J84" s="36" t="n">
        <v>60000</v>
      </c>
      <c r="K84" s="36" t="n">
        <v>250000</v>
      </c>
      <c r="L84" s="36" t="n">
        <v>4058333</v>
      </c>
      <c r="M84" s="36" t="n">
        <v>63333</v>
      </c>
      <c r="N84" s="14">
        <f>IFERROR((I84*VLOOKUP($G84,'Claude Prices'!$A$5:$G$22,3,FALSE)+J84*VLOOKUP($G84,'Claude Prices'!$A$5:$G$22,4,FALSE)+K84*VLOOKUP($G84,'Claude Prices'!$A$5:$G$22,5,FALSE)+L84*VLOOKUP($G84,'Claude Prices'!$A$5:$G$22,6,FALSE)+M84*VLOOKUP($G84,'Claude Prices'!$A$5:$G$22,7,FALSE))/1000000,0)</f>
        <v/>
      </c>
      <c r="O84" s="14">
        <f>N84*ClaudeFxRate</f>
        <v/>
      </c>
    </row>
    <row r="85">
      <c r="A85" s="26" t="n">
        <v>46105</v>
      </c>
      <c r="B85" t="inlineStr">
        <is>
          <t>ops</t>
        </is>
      </c>
      <c r="C85" t="inlineStr">
        <is>
          <t>merges, promotions &amp; deploys</t>
        </is>
      </c>
      <c r="D85" t="inlineStr"/>
      <c r="E85" t="inlineStr"/>
      <c r="F85" t="inlineStr">
        <is>
          <t>claude-haiku-4-5-20251001</t>
        </is>
      </c>
      <c r="G85" t="inlineStr">
        <is>
          <t>claude-haiku-4-5</t>
        </is>
      </c>
      <c r="H85" s="36" t="n">
        <v>1</v>
      </c>
      <c r="I85" s="36" t="n">
        <v>294</v>
      </c>
      <c r="J85" s="36" t="n">
        <v>1294</v>
      </c>
      <c r="K85" s="36" t="n">
        <v>4941</v>
      </c>
      <c r="L85" s="36" t="n">
        <v>101176</v>
      </c>
      <c r="M85" s="36" t="n">
        <v>1117</v>
      </c>
      <c r="N85" s="14">
        <f>IFERROR((I85*VLOOKUP($G85,'Claude Prices'!$A$5:$G$22,3,FALSE)+J85*VLOOKUP($G85,'Claude Prices'!$A$5:$G$22,4,FALSE)+K85*VLOOKUP($G85,'Claude Prices'!$A$5:$G$22,5,FALSE)+L85*VLOOKUP($G85,'Claude Prices'!$A$5:$G$22,6,FALSE)+M85*VLOOKUP($G85,'Claude Prices'!$A$5:$G$22,7,FALSE))/1000000,0)</f>
        <v/>
      </c>
      <c r="O85" s="14">
        <f>N85*ClaudeFxRate</f>
        <v/>
      </c>
    </row>
    <row r="86">
      <c r="A86" s="26" t="n">
        <v>46106</v>
      </c>
      <c r="B86" t="inlineStr">
        <is>
          <t>story</t>
        </is>
      </c>
      <c r="C86" t="inlineStr">
        <is>
          <t>FAL-12</t>
        </is>
      </c>
      <c r="D86" t="inlineStr">
        <is>
          <t>1.2</t>
        </is>
      </c>
      <c r="E86" t="inlineStr">
        <is>
          <t>Start an application</t>
        </is>
      </c>
      <c r="F86" t="inlineStr">
        <is>
          <t>claude-sonnet-5</t>
        </is>
      </c>
      <c r="G86" t="inlineStr">
        <is>
          <t>claude-sonnet-5</t>
        </is>
      </c>
      <c r="H86" s="36" t="n">
        <v>25</v>
      </c>
      <c r="I86" s="36" t="n">
        <v>4750</v>
      </c>
      <c r="J86" s="36" t="n">
        <v>60000</v>
      </c>
      <c r="K86" s="36" t="n">
        <v>250000</v>
      </c>
      <c r="L86" s="36" t="n">
        <v>4058333</v>
      </c>
      <c r="M86" s="36" t="n">
        <v>63333</v>
      </c>
      <c r="N86" s="14">
        <f>IFERROR((I86*VLOOKUP($G86,'Claude Prices'!$A$5:$G$22,3,FALSE)+J86*VLOOKUP($G86,'Claude Prices'!$A$5:$G$22,4,FALSE)+K86*VLOOKUP($G86,'Claude Prices'!$A$5:$G$22,5,FALSE)+L86*VLOOKUP($G86,'Claude Prices'!$A$5:$G$22,6,FALSE)+M86*VLOOKUP($G86,'Claude Prices'!$A$5:$G$22,7,FALSE))/1000000,0)</f>
        <v/>
      </c>
      <c r="O86" s="14">
        <f>N86*ClaudeFxRate</f>
        <v/>
      </c>
    </row>
    <row r="87">
      <c r="A87" s="26" t="n">
        <v>46106</v>
      </c>
      <c r="B87" t="inlineStr">
        <is>
          <t>ops</t>
        </is>
      </c>
      <c r="C87" t="inlineStr">
        <is>
          <t>merges, promotions &amp; deploys</t>
        </is>
      </c>
      <c r="D87" t="inlineStr"/>
      <c r="E87" t="inlineStr"/>
      <c r="F87" t="inlineStr">
        <is>
          <t>claude-haiku-4-5-20251001</t>
        </is>
      </c>
      <c r="G87" t="inlineStr">
        <is>
          <t>claude-haiku-4-5</t>
        </is>
      </c>
      <c r="H87" s="36" t="n">
        <v>1</v>
      </c>
      <c r="I87" s="36" t="n">
        <v>294</v>
      </c>
      <c r="J87" s="36" t="n">
        <v>1294</v>
      </c>
      <c r="K87" s="36" t="n">
        <v>4941</v>
      </c>
      <c r="L87" s="36" t="n">
        <v>101176</v>
      </c>
      <c r="M87" s="36" t="n">
        <v>1117</v>
      </c>
      <c r="N87" s="14">
        <f>IFERROR((I87*VLOOKUP($G87,'Claude Prices'!$A$5:$G$22,3,FALSE)+J87*VLOOKUP($G87,'Claude Prices'!$A$5:$G$22,4,FALSE)+K87*VLOOKUP($G87,'Claude Prices'!$A$5:$G$22,5,FALSE)+L87*VLOOKUP($G87,'Claude Prices'!$A$5:$G$22,6,FALSE)+M87*VLOOKUP($G87,'Claude Prices'!$A$5:$G$22,7,FALSE))/1000000,0)</f>
        <v/>
      </c>
      <c r="O87" s="14">
        <f>N87*ClaudeFxRate</f>
        <v/>
      </c>
    </row>
    <row r="88">
      <c r="A88" s="26" t="n">
        <v>46107</v>
      </c>
      <c r="B88" t="inlineStr">
        <is>
          <t>story</t>
        </is>
      </c>
      <c r="C88" t="inlineStr">
        <is>
          <t>FAL-12</t>
        </is>
      </c>
      <c r="D88" t="inlineStr">
        <is>
          <t>1.2</t>
        </is>
      </c>
      <c r="E88" t="inlineStr">
        <is>
          <t>Start an application</t>
        </is>
      </c>
      <c r="F88" t="inlineStr">
        <is>
          <t>claude-sonnet-5</t>
        </is>
      </c>
      <c r="G88" t="inlineStr">
        <is>
          <t>claude-sonnet-5</t>
        </is>
      </c>
      <c r="H88" s="36" t="n">
        <v>25</v>
      </c>
      <c r="I88" s="36" t="n">
        <v>4750</v>
      </c>
      <c r="J88" s="36" t="n">
        <v>60000</v>
      </c>
      <c r="K88" s="36" t="n">
        <v>250000</v>
      </c>
      <c r="L88" s="36" t="n">
        <v>4058333</v>
      </c>
      <c r="M88" s="36" t="n">
        <v>63333</v>
      </c>
      <c r="N88" s="14">
        <f>IFERROR((I88*VLOOKUP($G88,'Claude Prices'!$A$5:$G$22,3,FALSE)+J88*VLOOKUP($G88,'Claude Prices'!$A$5:$G$22,4,FALSE)+K88*VLOOKUP($G88,'Claude Prices'!$A$5:$G$22,5,FALSE)+L88*VLOOKUP($G88,'Claude Prices'!$A$5:$G$22,6,FALSE)+M88*VLOOKUP($G88,'Claude Prices'!$A$5:$G$22,7,FALSE))/1000000,0)</f>
        <v/>
      </c>
      <c r="O88" s="14">
        <f>N88*ClaudeFxRate</f>
        <v/>
      </c>
    </row>
    <row r="89">
      <c r="A89" s="26" t="n">
        <v>46107</v>
      </c>
      <c r="B89" t="inlineStr">
        <is>
          <t>ops</t>
        </is>
      </c>
      <c r="C89" t="inlineStr">
        <is>
          <t>merges, promotions &amp; deploys</t>
        </is>
      </c>
      <c r="D89" t="inlineStr"/>
      <c r="E89" t="inlineStr"/>
      <c r="F89" t="inlineStr">
        <is>
          <t>claude-haiku-4-5-20251001</t>
        </is>
      </c>
      <c r="G89" t="inlineStr">
        <is>
          <t>claude-haiku-4-5</t>
        </is>
      </c>
      <c r="H89" s="36" t="n">
        <v>1</v>
      </c>
      <c r="I89" s="36" t="n">
        <v>294</v>
      </c>
      <c r="J89" s="36" t="n">
        <v>1294</v>
      </c>
      <c r="K89" s="36" t="n">
        <v>4941</v>
      </c>
      <c r="L89" s="36" t="n">
        <v>101176</v>
      </c>
      <c r="M89" s="36" t="n">
        <v>1117</v>
      </c>
      <c r="N89" s="14">
        <f>IFERROR((I89*VLOOKUP($G89,'Claude Prices'!$A$5:$G$22,3,FALSE)+J89*VLOOKUP($G89,'Claude Prices'!$A$5:$G$22,4,FALSE)+K89*VLOOKUP($G89,'Claude Prices'!$A$5:$G$22,5,FALSE)+L89*VLOOKUP($G89,'Claude Prices'!$A$5:$G$22,6,FALSE)+M89*VLOOKUP($G89,'Claude Prices'!$A$5:$G$22,7,FALSE))/1000000,0)</f>
        <v/>
      </c>
      <c r="O89" s="14">
        <f>N89*ClaudeFxRate</f>
        <v/>
      </c>
    </row>
    <row r="90">
      <c r="A90" s="26" t="n">
        <v>46108</v>
      </c>
      <c r="B90" t="inlineStr">
        <is>
          <t>story</t>
        </is>
      </c>
      <c r="C90" t="inlineStr">
        <is>
          <t>FAL-12</t>
        </is>
      </c>
      <c r="D90" t="inlineStr">
        <is>
          <t>1.2</t>
        </is>
      </c>
      <c r="E90" t="inlineStr">
        <is>
          <t>Start an application</t>
        </is>
      </c>
      <c r="F90" t="inlineStr">
        <is>
          <t>claude-sonnet-5</t>
        </is>
      </c>
      <c r="G90" t="inlineStr">
        <is>
          <t>claude-sonnet-5</t>
        </is>
      </c>
      <c r="H90" s="36" t="n">
        <v>25</v>
      </c>
      <c r="I90" s="36" t="n">
        <v>4750</v>
      </c>
      <c r="J90" s="36" t="n">
        <v>60000</v>
      </c>
      <c r="K90" s="36" t="n">
        <v>250000</v>
      </c>
      <c r="L90" s="36" t="n">
        <v>4058333</v>
      </c>
      <c r="M90" s="36" t="n">
        <v>63333</v>
      </c>
      <c r="N90" s="14">
        <f>IFERROR((I90*VLOOKUP($G90,'Claude Prices'!$A$5:$G$22,3,FALSE)+J90*VLOOKUP($G90,'Claude Prices'!$A$5:$G$22,4,FALSE)+K90*VLOOKUP($G90,'Claude Prices'!$A$5:$G$22,5,FALSE)+L90*VLOOKUP($G90,'Claude Prices'!$A$5:$G$22,6,FALSE)+M90*VLOOKUP($G90,'Claude Prices'!$A$5:$G$22,7,FALSE))/1000000,0)</f>
        <v/>
      </c>
      <c r="O90" s="14">
        <f>N90*ClaudeFxRate</f>
        <v/>
      </c>
    </row>
    <row r="91">
      <c r="A91" s="26" t="n">
        <v>46108</v>
      </c>
      <c r="B91" t="inlineStr">
        <is>
          <t>ops</t>
        </is>
      </c>
      <c r="C91" t="inlineStr">
        <is>
          <t>merges, promotions &amp; deploys</t>
        </is>
      </c>
      <c r="D91" t="inlineStr"/>
      <c r="E91" t="inlineStr"/>
      <c r="F91" t="inlineStr">
        <is>
          <t>claude-haiku-4-5-20251001</t>
        </is>
      </c>
      <c r="G91" t="inlineStr">
        <is>
          <t>claude-haiku-4-5</t>
        </is>
      </c>
      <c r="H91" s="36" t="n">
        <v>1</v>
      </c>
      <c r="I91" s="36" t="n">
        <v>294</v>
      </c>
      <c r="J91" s="36" t="n">
        <v>1294</v>
      </c>
      <c r="K91" s="36" t="n">
        <v>4941</v>
      </c>
      <c r="L91" s="36" t="n">
        <v>101176</v>
      </c>
      <c r="M91" s="36" t="n">
        <v>1117</v>
      </c>
      <c r="N91" s="14">
        <f>IFERROR((I91*VLOOKUP($G91,'Claude Prices'!$A$5:$G$22,3,FALSE)+J91*VLOOKUP($G91,'Claude Prices'!$A$5:$G$22,4,FALSE)+K91*VLOOKUP($G91,'Claude Prices'!$A$5:$G$22,5,FALSE)+L91*VLOOKUP($G91,'Claude Prices'!$A$5:$G$22,6,FALSE)+M91*VLOOKUP($G91,'Claude Prices'!$A$5:$G$22,7,FALSE))/1000000,0)</f>
        <v/>
      </c>
      <c r="O91" s="14">
        <f>N91*ClaudeFxRate</f>
        <v/>
      </c>
    </row>
    <row r="92">
      <c r="A92" s="26" t="n">
        <v>46111</v>
      </c>
      <c r="B92" t="inlineStr">
        <is>
          <t>story</t>
        </is>
      </c>
      <c r="C92" t="inlineStr">
        <is>
          <t>FAL-12</t>
        </is>
      </c>
      <c r="D92" t="inlineStr">
        <is>
          <t>1.2</t>
        </is>
      </c>
      <c r="E92" t="inlineStr">
        <is>
          <t>Start an application</t>
        </is>
      </c>
      <c r="F92" t="inlineStr">
        <is>
          <t>claude-sonnet-5</t>
        </is>
      </c>
      <c r="G92" t="inlineStr">
        <is>
          <t>claude-sonnet-5</t>
        </is>
      </c>
      <c r="H92" s="36" t="n">
        <v>25</v>
      </c>
      <c r="I92" s="36" t="n">
        <v>4750</v>
      </c>
      <c r="J92" s="36" t="n">
        <v>60000</v>
      </c>
      <c r="K92" s="36" t="n">
        <v>250000</v>
      </c>
      <c r="L92" s="36" t="n">
        <v>4058333</v>
      </c>
      <c r="M92" s="36" t="n">
        <v>63333</v>
      </c>
      <c r="N92" s="14">
        <f>IFERROR((I92*VLOOKUP($G92,'Claude Prices'!$A$5:$G$22,3,FALSE)+J92*VLOOKUP($G92,'Claude Prices'!$A$5:$G$22,4,FALSE)+K92*VLOOKUP($G92,'Claude Prices'!$A$5:$G$22,5,FALSE)+L92*VLOOKUP($G92,'Claude Prices'!$A$5:$G$22,6,FALSE)+M92*VLOOKUP($G92,'Claude Prices'!$A$5:$G$22,7,FALSE))/1000000,0)</f>
        <v/>
      </c>
      <c r="O92" s="14">
        <f>N92*ClaudeFxRate</f>
        <v/>
      </c>
    </row>
    <row r="93">
      <c r="A93" s="26" t="n">
        <v>46111</v>
      </c>
      <c r="B93" t="inlineStr">
        <is>
          <t>ops</t>
        </is>
      </c>
      <c r="C93" t="inlineStr">
        <is>
          <t>merges, promotions &amp; deploys</t>
        </is>
      </c>
      <c r="D93" t="inlineStr"/>
      <c r="E93" t="inlineStr"/>
      <c r="F93" t="inlineStr">
        <is>
          <t>claude-haiku-4-5-20251001</t>
        </is>
      </c>
      <c r="G93" t="inlineStr">
        <is>
          <t>claude-haiku-4-5</t>
        </is>
      </c>
      <c r="H93" s="36" t="n">
        <v>1</v>
      </c>
      <c r="I93" s="36" t="n">
        <v>294</v>
      </c>
      <c r="J93" s="36" t="n">
        <v>1294</v>
      </c>
      <c r="K93" s="36" t="n">
        <v>4941</v>
      </c>
      <c r="L93" s="36" t="n">
        <v>101176</v>
      </c>
      <c r="M93" s="36" t="n">
        <v>1117</v>
      </c>
      <c r="N93" s="14">
        <f>IFERROR((I93*VLOOKUP($G93,'Claude Prices'!$A$5:$G$22,3,FALSE)+J93*VLOOKUP($G93,'Claude Prices'!$A$5:$G$22,4,FALSE)+K93*VLOOKUP($G93,'Claude Prices'!$A$5:$G$22,5,FALSE)+L93*VLOOKUP($G93,'Claude Prices'!$A$5:$G$22,6,FALSE)+M93*VLOOKUP($G93,'Claude Prices'!$A$5:$G$22,7,FALSE))/1000000,0)</f>
        <v/>
      </c>
      <c r="O93" s="14">
        <f>N93*ClaudeFxRate</f>
        <v/>
      </c>
    </row>
    <row r="94">
      <c r="A94" s="26" t="n">
        <v>46112</v>
      </c>
      <c r="B94" t="inlineStr">
        <is>
          <t>story</t>
        </is>
      </c>
      <c r="C94" t="inlineStr">
        <is>
          <t>FAL-12</t>
        </is>
      </c>
      <c r="D94" t="inlineStr">
        <is>
          <t>1.2</t>
        </is>
      </c>
      <c r="E94" t="inlineStr">
        <is>
          <t>Start an application</t>
        </is>
      </c>
      <c r="F94" t="inlineStr">
        <is>
          <t>claude-sonnet-5</t>
        </is>
      </c>
      <c r="G94" t="inlineStr">
        <is>
          <t>claude-sonnet-5</t>
        </is>
      </c>
      <c r="H94" s="36" t="n">
        <v>25</v>
      </c>
      <c r="I94" s="36" t="n">
        <v>4750</v>
      </c>
      <c r="J94" s="36" t="n">
        <v>60000</v>
      </c>
      <c r="K94" s="36" t="n">
        <v>250000</v>
      </c>
      <c r="L94" s="36" t="n">
        <v>4058333</v>
      </c>
      <c r="M94" s="36" t="n">
        <v>63333</v>
      </c>
      <c r="N94" s="14">
        <f>IFERROR((I94*VLOOKUP($G94,'Claude Prices'!$A$5:$G$22,3,FALSE)+J94*VLOOKUP($G94,'Claude Prices'!$A$5:$G$22,4,FALSE)+K94*VLOOKUP($G94,'Claude Prices'!$A$5:$G$22,5,FALSE)+L94*VLOOKUP($G94,'Claude Prices'!$A$5:$G$22,6,FALSE)+M94*VLOOKUP($G94,'Claude Prices'!$A$5:$G$22,7,FALSE))/1000000,0)</f>
        <v/>
      </c>
      <c r="O94" s="14">
        <f>N94*ClaudeFxRate</f>
        <v/>
      </c>
    </row>
    <row r="95">
      <c r="A95" s="26" t="n">
        <v>46112</v>
      </c>
      <c r="B95" t="inlineStr">
        <is>
          <t>ops</t>
        </is>
      </c>
      <c r="C95" t="inlineStr">
        <is>
          <t>merges, promotions &amp; deploys</t>
        </is>
      </c>
      <c r="D95" t="inlineStr"/>
      <c r="E95" t="inlineStr"/>
      <c r="F95" t="inlineStr">
        <is>
          <t>claude-haiku-4-5-20251001</t>
        </is>
      </c>
      <c r="G95" t="inlineStr">
        <is>
          <t>claude-haiku-4-5</t>
        </is>
      </c>
      <c r="H95" s="36" t="n">
        <v>1</v>
      </c>
      <c r="I95" s="36" t="n">
        <v>294</v>
      </c>
      <c r="J95" s="36" t="n">
        <v>1294</v>
      </c>
      <c r="K95" s="36" t="n">
        <v>4941</v>
      </c>
      <c r="L95" s="36" t="n">
        <v>101176</v>
      </c>
      <c r="M95" s="36" t="n">
        <v>1117</v>
      </c>
      <c r="N95" s="14">
        <f>IFERROR((I95*VLOOKUP($G95,'Claude Prices'!$A$5:$G$22,3,FALSE)+J95*VLOOKUP($G95,'Claude Prices'!$A$5:$G$22,4,FALSE)+K95*VLOOKUP($G95,'Claude Prices'!$A$5:$G$22,5,FALSE)+L95*VLOOKUP($G95,'Claude Prices'!$A$5:$G$22,6,FALSE)+M95*VLOOKUP($G95,'Claude Prices'!$A$5:$G$22,7,FALSE))/1000000,0)</f>
        <v/>
      </c>
      <c r="O95" s="14">
        <f>N95*ClaudeFxRate</f>
        <v/>
      </c>
    </row>
    <row r="96">
      <c r="A96" s="26" t="n">
        <v>46113</v>
      </c>
      <c r="B96" t="inlineStr">
        <is>
          <t>story</t>
        </is>
      </c>
      <c r="C96" t="inlineStr">
        <is>
          <t>FAL-12</t>
        </is>
      </c>
      <c r="D96" t="inlineStr">
        <is>
          <t>1.2</t>
        </is>
      </c>
      <c r="E96" t="inlineStr">
        <is>
          <t>Start an application</t>
        </is>
      </c>
      <c r="F96" t="inlineStr">
        <is>
          <t>claude-sonnet-5</t>
        </is>
      </c>
      <c r="G96" t="inlineStr">
        <is>
          <t>claude-sonnet-5</t>
        </is>
      </c>
      <c r="H96" s="36" t="n">
        <v>25</v>
      </c>
      <c r="I96" s="36" t="n">
        <v>4750</v>
      </c>
      <c r="J96" s="36" t="n">
        <v>60000</v>
      </c>
      <c r="K96" s="36" t="n">
        <v>250000</v>
      </c>
      <c r="L96" s="36" t="n">
        <v>4058333</v>
      </c>
      <c r="M96" s="36" t="n">
        <v>63333</v>
      </c>
      <c r="N96" s="14">
        <f>IFERROR((I96*VLOOKUP($G96,'Claude Prices'!$A$5:$G$22,3,FALSE)+J96*VLOOKUP($G96,'Claude Prices'!$A$5:$G$22,4,FALSE)+K96*VLOOKUP($G96,'Claude Prices'!$A$5:$G$22,5,FALSE)+L96*VLOOKUP($G96,'Claude Prices'!$A$5:$G$22,6,FALSE)+M96*VLOOKUP($G96,'Claude Prices'!$A$5:$G$22,7,FALSE))/1000000,0)</f>
        <v/>
      </c>
      <c r="O96" s="14">
        <f>N96*ClaudeFxRate</f>
        <v/>
      </c>
    </row>
    <row r="97">
      <c r="A97" s="26" t="n">
        <v>46113</v>
      </c>
      <c r="B97" t="inlineStr">
        <is>
          <t>ops</t>
        </is>
      </c>
      <c r="C97" t="inlineStr">
        <is>
          <t>merges, promotions &amp; deploys</t>
        </is>
      </c>
      <c r="D97" t="inlineStr"/>
      <c r="E97" t="inlineStr"/>
      <c r="F97" t="inlineStr">
        <is>
          <t>claude-haiku-4-5-20251001</t>
        </is>
      </c>
      <c r="G97" t="inlineStr">
        <is>
          <t>claude-haiku-4-5</t>
        </is>
      </c>
      <c r="H97" s="36" t="n">
        <v>1</v>
      </c>
      <c r="I97" s="36" t="n">
        <v>294</v>
      </c>
      <c r="J97" s="36" t="n">
        <v>1294</v>
      </c>
      <c r="K97" s="36" t="n">
        <v>4941</v>
      </c>
      <c r="L97" s="36" t="n">
        <v>101176</v>
      </c>
      <c r="M97" s="36" t="n">
        <v>1117</v>
      </c>
      <c r="N97" s="14">
        <f>IFERROR((I97*VLOOKUP($G97,'Claude Prices'!$A$5:$G$22,3,FALSE)+J97*VLOOKUP($G97,'Claude Prices'!$A$5:$G$22,4,FALSE)+K97*VLOOKUP($G97,'Claude Prices'!$A$5:$G$22,5,FALSE)+L97*VLOOKUP($G97,'Claude Prices'!$A$5:$G$22,6,FALSE)+M97*VLOOKUP($G97,'Claude Prices'!$A$5:$G$22,7,FALSE))/1000000,0)</f>
        <v/>
      </c>
      <c r="O97" s="14">
        <f>N97*ClaudeFxRate</f>
        <v/>
      </c>
    </row>
    <row r="98">
      <c r="A98" s="26" t="n">
        <v>46114</v>
      </c>
      <c r="B98" t="inlineStr">
        <is>
          <t>story</t>
        </is>
      </c>
      <c r="C98" t="inlineStr">
        <is>
          <t>FAL-12</t>
        </is>
      </c>
      <c r="D98" t="inlineStr">
        <is>
          <t>1.2</t>
        </is>
      </c>
      <c r="E98" t="inlineStr">
        <is>
          <t>Start an application</t>
        </is>
      </c>
      <c r="F98" t="inlineStr">
        <is>
          <t>claude-sonnet-5</t>
        </is>
      </c>
      <c r="G98" t="inlineStr">
        <is>
          <t>claude-sonnet-5</t>
        </is>
      </c>
      <c r="H98" s="36" t="n">
        <v>30</v>
      </c>
      <c r="I98" s="36" t="n">
        <v>4750</v>
      </c>
      <c r="J98" s="36" t="n">
        <v>60000</v>
      </c>
      <c r="K98" s="36" t="n">
        <v>250000</v>
      </c>
      <c r="L98" s="36" t="n">
        <v>4058337</v>
      </c>
      <c r="M98" s="36" t="n">
        <v>63337</v>
      </c>
      <c r="N98" s="14">
        <f>IFERROR((I98*VLOOKUP($G98,'Claude Prices'!$A$5:$G$22,3,FALSE)+J98*VLOOKUP($G98,'Claude Prices'!$A$5:$G$22,4,FALSE)+K98*VLOOKUP($G98,'Claude Prices'!$A$5:$G$22,5,FALSE)+L98*VLOOKUP($G98,'Claude Prices'!$A$5:$G$22,6,FALSE)+M98*VLOOKUP($G98,'Claude Prices'!$A$5:$G$22,7,FALSE))/1000000,0)</f>
        <v/>
      </c>
      <c r="O98" s="14">
        <f>N98*ClaudeFxRate</f>
        <v/>
      </c>
    </row>
    <row r="99">
      <c r="A99" s="26" t="n">
        <v>46114</v>
      </c>
      <c r="B99" t="inlineStr">
        <is>
          <t>ops</t>
        </is>
      </c>
      <c r="C99" t="inlineStr">
        <is>
          <t>merges, promotions &amp; deploys</t>
        </is>
      </c>
      <c r="D99" t="inlineStr"/>
      <c r="E99" t="inlineStr"/>
      <c r="F99" t="inlineStr">
        <is>
          <t>claude-haiku-4-5-20251001</t>
        </is>
      </c>
      <c r="G99" t="inlineStr">
        <is>
          <t>claude-haiku-4-5</t>
        </is>
      </c>
      <c r="H99" s="36" t="n">
        <v>1</v>
      </c>
      <c r="I99" s="36" t="n">
        <v>294</v>
      </c>
      <c r="J99" s="36" t="n">
        <v>1294</v>
      </c>
      <c r="K99" s="36" t="n">
        <v>4941</v>
      </c>
      <c r="L99" s="36" t="n">
        <v>101176</v>
      </c>
      <c r="M99" s="36" t="n">
        <v>1117</v>
      </c>
      <c r="N99" s="14">
        <f>IFERROR((I99*VLOOKUP($G99,'Claude Prices'!$A$5:$G$22,3,FALSE)+J99*VLOOKUP($G99,'Claude Prices'!$A$5:$G$22,4,FALSE)+K99*VLOOKUP($G99,'Claude Prices'!$A$5:$G$22,5,FALSE)+L99*VLOOKUP($G99,'Claude Prices'!$A$5:$G$22,6,FALSE)+M99*VLOOKUP($G99,'Claude Prices'!$A$5:$G$22,7,FALSE))/1000000,0)</f>
        <v/>
      </c>
      <c r="O99" s="14">
        <f>N99*ClaudeFxRate</f>
        <v/>
      </c>
    </row>
    <row r="100">
      <c r="A100" s="26" t="n">
        <v>46115</v>
      </c>
      <c r="B100" t="inlineStr">
        <is>
          <t>story</t>
        </is>
      </c>
      <c r="C100" t="inlineStr">
        <is>
          <t>FAL-13</t>
        </is>
      </c>
      <c r="D100" t="inlineStr">
        <is>
          <t>1.3</t>
        </is>
      </c>
      <c r="E100" t="inlineStr">
        <is>
          <t>Upload documents</t>
        </is>
      </c>
      <c r="F100" t="inlineStr">
        <is>
          <t>claude-haiku-4-5-20251001</t>
        </is>
      </c>
      <c r="G100" t="inlineStr">
        <is>
          <t>claude-haiku-4-5</t>
        </is>
      </c>
      <c r="H100" s="36" t="n">
        <v>8</v>
      </c>
      <c r="I100" s="36" t="n">
        <v>1500</v>
      </c>
      <c r="J100" s="36" t="n">
        <v>7500</v>
      </c>
      <c r="K100" s="36" t="n">
        <v>25000</v>
      </c>
      <c r="L100" s="36" t="n">
        <v>516666</v>
      </c>
      <c r="M100" s="36" t="n">
        <v>5833</v>
      </c>
      <c r="N100" s="14">
        <f>IFERROR((I100*VLOOKUP($G100,'Claude Prices'!$A$5:$G$22,3,FALSE)+J100*VLOOKUP($G100,'Claude Prices'!$A$5:$G$22,4,FALSE)+K100*VLOOKUP($G100,'Claude Prices'!$A$5:$G$22,5,FALSE)+L100*VLOOKUP($G100,'Claude Prices'!$A$5:$G$22,6,FALSE)+M100*VLOOKUP($G100,'Claude Prices'!$A$5:$G$22,7,FALSE))/1000000,0)</f>
        <v/>
      </c>
      <c r="O100" s="14">
        <f>N100*ClaudeFxRate</f>
        <v/>
      </c>
    </row>
    <row r="101">
      <c r="A101" s="26" t="n">
        <v>46115</v>
      </c>
      <c r="B101" t="inlineStr">
        <is>
          <t>story</t>
        </is>
      </c>
      <c r="C101" t="inlineStr">
        <is>
          <t>FAL-13</t>
        </is>
      </c>
      <c r="D101" t="inlineStr">
        <is>
          <t>1.3</t>
        </is>
      </c>
      <c r="E101" t="inlineStr">
        <is>
          <t>Upload documents</t>
        </is>
      </c>
      <c r="F101" t="inlineStr">
        <is>
          <t>claude-sonnet-5</t>
        </is>
      </c>
      <c r="G101" t="inlineStr">
        <is>
          <t>claude-sonnet-5</t>
        </is>
      </c>
      <c r="H101" s="36" t="n">
        <v>20</v>
      </c>
      <c r="I101" s="36" t="n">
        <v>3833</v>
      </c>
      <c r="J101" s="36" t="n">
        <v>50000</v>
      </c>
      <c r="K101" s="36" t="n">
        <v>208333</v>
      </c>
      <c r="L101" s="36" t="n">
        <v>3341666</v>
      </c>
      <c r="M101" s="36" t="n">
        <v>50833</v>
      </c>
      <c r="N101" s="14">
        <f>IFERROR((I101*VLOOKUP($G101,'Claude Prices'!$A$5:$G$22,3,FALSE)+J101*VLOOKUP($G101,'Claude Prices'!$A$5:$G$22,4,FALSE)+K101*VLOOKUP($G101,'Claude Prices'!$A$5:$G$22,5,FALSE)+L101*VLOOKUP($G101,'Claude Prices'!$A$5:$G$22,6,FALSE)+M101*VLOOKUP($G101,'Claude Prices'!$A$5:$G$22,7,FALSE))/1000000,0)</f>
        <v/>
      </c>
      <c r="O101" s="14">
        <f>N101*ClaudeFxRate</f>
        <v/>
      </c>
    </row>
    <row r="102">
      <c r="A102" s="26" t="n">
        <v>46115</v>
      </c>
      <c r="B102" t="inlineStr">
        <is>
          <t>ops</t>
        </is>
      </c>
      <c r="C102" t="inlineStr">
        <is>
          <t>merges, promotions &amp; deploys</t>
        </is>
      </c>
      <c r="D102" t="inlineStr"/>
      <c r="E102" t="inlineStr"/>
      <c r="F102" t="inlineStr">
        <is>
          <t>claude-haiku-4-5-20251001</t>
        </is>
      </c>
      <c r="G102" t="inlineStr">
        <is>
          <t>claude-haiku-4-5</t>
        </is>
      </c>
      <c r="H102" s="36" t="n">
        <v>1</v>
      </c>
      <c r="I102" s="36" t="n">
        <v>294</v>
      </c>
      <c r="J102" s="36" t="n">
        <v>1294</v>
      </c>
      <c r="K102" s="36" t="n">
        <v>4941</v>
      </c>
      <c r="L102" s="36" t="n">
        <v>101176</v>
      </c>
      <c r="M102" s="36" t="n">
        <v>1117</v>
      </c>
      <c r="N102" s="14">
        <f>IFERROR((I102*VLOOKUP($G102,'Claude Prices'!$A$5:$G$22,3,FALSE)+J102*VLOOKUP($G102,'Claude Prices'!$A$5:$G$22,4,FALSE)+K102*VLOOKUP($G102,'Claude Prices'!$A$5:$G$22,5,FALSE)+L102*VLOOKUP($G102,'Claude Prices'!$A$5:$G$22,6,FALSE)+M102*VLOOKUP($G102,'Claude Prices'!$A$5:$G$22,7,FALSE))/1000000,0)</f>
        <v/>
      </c>
      <c r="O102" s="14">
        <f>N102*ClaudeFxRate</f>
        <v/>
      </c>
    </row>
    <row r="103">
      <c r="A103" s="26" t="n">
        <v>46118</v>
      </c>
      <c r="B103" t="inlineStr">
        <is>
          <t>story</t>
        </is>
      </c>
      <c r="C103" t="inlineStr">
        <is>
          <t>FAL-13</t>
        </is>
      </c>
      <c r="D103" t="inlineStr">
        <is>
          <t>1.3</t>
        </is>
      </c>
      <c r="E103" t="inlineStr">
        <is>
          <t>Upload documents</t>
        </is>
      </c>
      <c r="F103" t="inlineStr">
        <is>
          <t>claude-haiku-4-5-20251001</t>
        </is>
      </c>
      <c r="G103" t="inlineStr">
        <is>
          <t>claude-haiku-4-5</t>
        </is>
      </c>
      <c r="H103" s="36" t="n">
        <v>8</v>
      </c>
      <c r="I103" s="36" t="n">
        <v>1500</v>
      </c>
      <c r="J103" s="36" t="n">
        <v>7500</v>
      </c>
      <c r="K103" s="36" t="n">
        <v>25000</v>
      </c>
      <c r="L103" s="36" t="n">
        <v>516666</v>
      </c>
      <c r="M103" s="36" t="n">
        <v>5833</v>
      </c>
      <c r="N103" s="14">
        <f>IFERROR((I103*VLOOKUP($G103,'Claude Prices'!$A$5:$G$22,3,FALSE)+J103*VLOOKUP($G103,'Claude Prices'!$A$5:$G$22,4,FALSE)+K103*VLOOKUP($G103,'Claude Prices'!$A$5:$G$22,5,FALSE)+L103*VLOOKUP($G103,'Claude Prices'!$A$5:$G$22,6,FALSE)+M103*VLOOKUP($G103,'Claude Prices'!$A$5:$G$22,7,FALSE))/1000000,0)</f>
        <v/>
      </c>
      <c r="O103" s="14">
        <f>N103*ClaudeFxRate</f>
        <v/>
      </c>
    </row>
    <row r="104">
      <c r="A104" s="26" t="n">
        <v>46118</v>
      </c>
      <c r="B104" t="inlineStr">
        <is>
          <t>story</t>
        </is>
      </c>
      <c r="C104" t="inlineStr">
        <is>
          <t>FAL-13</t>
        </is>
      </c>
      <c r="D104" t="inlineStr">
        <is>
          <t>1.3</t>
        </is>
      </c>
      <c r="E104" t="inlineStr">
        <is>
          <t>Upload documents</t>
        </is>
      </c>
      <c r="F104" t="inlineStr">
        <is>
          <t>claude-sonnet-5</t>
        </is>
      </c>
      <c r="G104" t="inlineStr">
        <is>
          <t>claude-sonnet-5</t>
        </is>
      </c>
      <c r="H104" s="36" t="n">
        <v>20</v>
      </c>
      <c r="I104" s="36" t="n">
        <v>3833</v>
      </c>
      <c r="J104" s="36" t="n">
        <v>50000</v>
      </c>
      <c r="K104" s="36" t="n">
        <v>208333</v>
      </c>
      <c r="L104" s="36" t="n">
        <v>3341666</v>
      </c>
      <c r="M104" s="36" t="n">
        <v>50833</v>
      </c>
      <c r="N104" s="14">
        <f>IFERROR((I104*VLOOKUP($G104,'Claude Prices'!$A$5:$G$22,3,FALSE)+J104*VLOOKUP($G104,'Claude Prices'!$A$5:$G$22,4,FALSE)+K104*VLOOKUP($G104,'Claude Prices'!$A$5:$G$22,5,FALSE)+L104*VLOOKUP($G104,'Claude Prices'!$A$5:$G$22,6,FALSE)+M104*VLOOKUP($G104,'Claude Prices'!$A$5:$G$22,7,FALSE))/1000000,0)</f>
        <v/>
      </c>
      <c r="O104" s="14">
        <f>N104*ClaudeFxRate</f>
        <v/>
      </c>
    </row>
    <row r="105">
      <c r="A105" s="26" t="n">
        <v>46118</v>
      </c>
      <c r="B105" t="inlineStr">
        <is>
          <t>ops</t>
        </is>
      </c>
      <c r="C105" t="inlineStr">
        <is>
          <t>merges, promotions &amp; deploys</t>
        </is>
      </c>
      <c r="D105" t="inlineStr"/>
      <c r="E105" t="inlineStr"/>
      <c r="F105" t="inlineStr">
        <is>
          <t>claude-haiku-4-5-20251001</t>
        </is>
      </c>
      <c r="G105" t="inlineStr">
        <is>
          <t>claude-haiku-4-5</t>
        </is>
      </c>
      <c r="H105" s="36" t="n">
        <v>1</v>
      </c>
      <c r="I105" s="36" t="n">
        <v>294</v>
      </c>
      <c r="J105" s="36" t="n">
        <v>1294</v>
      </c>
      <c r="K105" s="36" t="n">
        <v>4941</v>
      </c>
      <c r="L105" s="36" t="n">
        <v>101176</v>
      </c>
      <c r="M105" s="36" t="n">
        <v>1117</v>
      </c>
      <c r="N105" s="14">
        <f>IFERROR((I105*VLOOKUP($G105,'Claude Prices'!$A$5:$G$22,3,FALSE)+J105*VLOOKUP($G105,'Claude Prices'!$A$5:$G$22,4,FALSE)+K105*VLOOKUP($G105,'Claude Prices'!$A$5:$G$22,5,FALSE)+L105*VLOOKUP($G105,'Claude Prices'!$A$5:$G$22,6,FALSE)+M105*VLOOKUP($G105,'Claude Prices'!$A$5:$G$22,7,FALSE))/1000000,0)</f>
        <v/>
      </c>
      <c r="O105" s="14">
        <f>N105*ClaudeFxRate</f>
        <v/>
      </c>
    </row>
    <row r="106">
      <c r="A106" s="26" t="n">
        <v>46119</v>
      </c>
      <c r="B106" t="inlineStr">
        <is>
          <t>story</t>
        </is>
      </c>
      <c r="C106" t="inlineStr">
        <is>
          <t>FAL-13</t>
        </is>
      </c>
      <c r="D106" t="inlineStr">
        <is>
          <t>1.3</t>
        </is>
      </c>
      <c r="E106" t="inlineStr">
        <is>
          <t>Upload documents</t>
        </is>
      </c>
      <c r="F106" t="inlineStr">
        <is>
          <t>claude-haiku-4-5-20251001</t>
        </is>
      </c>
      <c r="G106" t="inlineStr">
        <is>
          <t>claude-haiku-4-5</t>
        </is>
      </c>
      <c r="H106" s="36" t="n">
        <v>8</v>
      </c>
      <c r="I106" s="36" t="n">
        <v>1500</v>
      </c>
      <c r="J106" s="36" t="n">
        <v>7500</v>
      </c>
      <c r="K106" s="36" t="n">
        <v>25000</v>
      </c>
      <c r="L106" s="36" t="n">
        <v>516666</v>
      </c>
      <c r="M106" s="36" t="n">
        <v>5833</v>
      </c>
      <c r="N106" s="14">
        <f>IFERROR((I106*VLOOKUP($G106,'Claude Prices'!$A$5:$G$22,3,FALSE)+J106*VLOOKUP($G106,'Claude Prices'!$A$5:$G$22,4,FALSE)+K106*VLOOKUP($G106,'Claude Prices'!$A$5:$G$22,5,FALSE)+L106*VLOOKUP($G106,'Claude Prices'!$A$5:$G$22,6,FALSE)+M106*VLOOKUP($G106,'Claude Prices'!$A$5:$G$22,7,FALSE))/1000000,0)</f>
        <v/>
      </c>
      <c r="O106" s="14">
        <f>N106*ClaudeFxRate</f>
        <v/>
      </c>
    </row>
    <row r="107">
      <c r="A107" s="26" t="n">
        <v>46119</v>
      </c>
      <c r="B107" t="inlineStr">
        <is>
          <t>story</t>
        </is>
      </c>
      <c r="C107" t="inlineStr">
        <is>
          <t>FAL-13</t>
        </is>
      </c>
      <c r="D107" t="inlineStr">
        <is>
          <t>1.3</t>
        </is>
      </c>
      <c r="E107" t="inlineStr">
        <is>
          <t>Upload documents</t>
        </is>
      </c>
      <c r="F107" t="inlineStr">
        <is>
          <t>claude-sonnet-5</t>
        </is>
      </c>
      <c r="G107" t="inlineStr">
        <is>
          <t>claude-sonnet-5</t>
        </is>
      </c>
      <c r="H107" s="36" t="n">
        <v>20</v>
      </c>
      <c r="I107" s="36" t="n">
        <v>3833</v>
      </c>
      <c r="J107" s="36" t="n">
        <v>50000</v>
      </c>
      <c r="K107" s="36" t="n">
        <v>208333</v>
      </c>
      <c r="L107" s="36" t="n">
        <v>3341666</v>
      </c>
      <c r="M107" s="36" t="n">
        <v>50833</v>
      </c>
      <c r="N107" s="14">
        <f>IFERROR((I107*VLOOKUP($G107,'Claude Prices'!$A$5:$G$22,3,FALSE)+J107*VLOOKUP($G107,'Claude Prices'!$A$5:$G$22,4,FALSE)+K107*VLOOKUP($G107,'Claude Prices'!$A$5:$G$22,5,FALSE)+L107*VLOOKUP($G107,'Claude Prices'!$A$5:$G$22,6,FALSE)+M107*VLOOKUP($G107,'Claude Prices'!$A$5:$G$22,7,FALSE))/1000000,0)</f>
        <v/>
      </c>
      <c r="O107" s="14">
        <f>N107*ClaudeFxRate</f>
        <v/>
      </c>
    </row>
    <row r="108">
      <c r="A108" s="26" t="n">
        <v>46119</v>
      </c>
      <c r="B108" t="inlineStr">
        <is>
          <t>ops</t>
        </is>
      </c>
      <c r="C108" t="inlineStr">
        <is>
          <t>merges, promotions &amp; deploys</t>
        </is>
      </c>
      <c r="D108" t="inlineStr"/>
      <c r="E108" t="inlineStr"/>
      <c r="F108" t="inlineStr">
        <is>
          <t>claude-haiku-4-5-20251001</t>
        </is>
      </c>
      <c r="G108" t="inlineStr">
        <is>
          <t>claude-haiku-4-5</t>
        </is>
      </c>
      <c r="H108" s="36" t="n">
        <v>1</v>
      </c>
      <c r="I108" s="36" t="n">
        <v>294</v>
      </c>
      <c r="J108" s="36" t="n">
        <v>1294</v>
      </c>
      <c r="K108" s="36" t="n">
        <v>4941</v>
      </c>
      <c r="L108" s="36" t="n">
        <v>101176</v>
      </c>
      <c r="M108" s="36" t="n">
        <v>1117</v>
      </c>
      <c r="N108" s="14">
        <f>IFERROR((I108*VLOOKUP($G108,'Claude Prices'!$A$5:$G$22,3,FALSE)+J108*VLOOKUP($G108,'Claude Prices'!$A$5:$G$22,4,FALSE)+K108*VLOOKUP($G108,'Claude Prices'!$A$5:$G$22,5,FALSE)+L108*VLOOKUP($G108,'Claude Prices'!$A$5:$G$22,6,FALSE)+M108*VLOOKUP($G108,'Claude Prices'!$A$5:$G$22,7,FALSE))/1000000,0)</f>
        <v/>
      </c>
      <c r="O108" s="14">
        <f>N108*ClaudeFxRate</f>
        <v/>
      </c>
    </row>
    <row r="109">
      <c r="A109" s="26" t="n">
        <v>46120</v>
      </c>
      <c r="B109" t="inlineStr">
        <is>
          <t>story</t>
        </is>
      </c>
      <c r="C109" t="inlineStr">
        <is>
          <t>FAL-13</t>
        </is>
      </c>
      <c r="D109" t="inlineStr">
        <is>
          <t>1.3</t>
        </is>
      </c>
      <c r="E109" t="inlineStr">
        <is>
          <t>Upload documents</t>
        </is>
      </c>
      <c r="F109" t="inlineStr">
        <is>
          <t>claude-haiku-4-5-20251001</t>
        </is>
      </c>
      <c r="G109" t="inlineStr">
        <is>
          <t>claude-haiku-4-5</t>
        </is>
      </c>
      <c r="H109" s="36" t="n">
        <v>8</v>
      </c>
      <c r="I109" s="36" t="n">
        <v>1500</v>
      </c>
      <c r="J109" s="36" t="n">
        <v>7500</v>
      </c>
      <c r="K109" s="36" t="n">
        <v>25000</v>
      </c>
      <c r="L109" s="36" t="n">
        <v>516666</v>
      </c>
      <c r="M109" s="36" t="n">
        <v>5833</v>
      </c>
      <c r="N109" s="14">
        <f>IFERROR((I109*VLOOKUP($G109,'Claude Prices'!$A$5:$G$22,3,FALSE)+J109*VLOOKUP($G109,'Claude Prices'!$A$5:$G$22,4,FALSE)+K109*VLOOKUP($G109,'Claude Prices'!$A$5:$G$22,5,FALSE)+L109*VLOOKUP($G109,'Claude Prices'!$A$5:$G$22,6,FALSE)+M109*VLOOKUP($G109,'Claude Prices'!$A$5:$G$22,7,FALSE))/1000000,0)</f>
        <v/>
      </c>
      <c r="O109" s="14">
        <f>N109*ClaudeFxRate</f>
        <v/>
      </c>
    </row>
    <row r="110">
      <c r="A110" s="26" t="n">
        <v>46120</v>
      </c>
      <c r="B110" t="inlineStr">
        <is>
          <t>story</t>
        </is>
      </c>
      <c r="C110" t="inlineStr">
        <is>
          <t>FAL-13</t>
        </is>
      </c>
      <c r="D110" t="inlineStr">
        <is>
          <t>1.3</t>
        </is>
      </c>
      <c r="E110" t="inlineStr">
        <is>
          <t>Upload documents</t>
        </is>
      </c>
      <c r="F110" t="inlineStr">
        <is>
          <t>claude-sonnet-5</t>
        </is>
      </c>
      <c r="G110" t="inlineStr">
        <is>
          <t>claude-sonnet-5</t>
        </is>
      </c>
      <c r="H110" s="36" t="n">
        <v>20</v>
      </c>
      <c r="I110" s="36" t="n">
        <v>3833</v>
      </c>
      <c r="J110" s="36" t="n">
        <v>50000</v>
      </c>
      <c r="K110" s="36" t="n">
        <v>208333</v>
      </c>
      <c r="L110" s="36" t="n">
        <v>3341666</v>
      </c>
      <c r="M110" s="36" t="n">
        <v>50833</v>
      </c>
      <c r="N110" s="14">
        <f>IFERROR((I110*VLOOKUP($G110,'Claude Prices'!$A$5:$G$22,3,FALSE)+J110*VLOOKUP($G110,'Claude Prices'!$A$5:$G$22,4,FALSE)+K110*VLOOKUP($G110,'Claude Prices'!$A$5:$G$22,5,FALSE)+L110*VLOOKUP($G110,'Claude Prices'!$A$5:$G$22,6,FALSE)+M110*VLOOKUP($G110,'Claude Prices'!$A$5:$G$22,7,FALSE))/1000000,0)</f>
        <v/>
      </c>
      <c r="O110" s="14">
        <f>N110*ClaudeFxRate</f>
        <v/>
      </c>
    </row>
    <row r="111">
      <c r="A111" s="26" t="n">
        <v>46120</v>
      </c>
      <c r="B111" t="inlineStr">
        <is>
          <t>ops</t>
        </is>
      </c>
      <c r="C111" t="inlineStr">
        <is>
          <t>merges, promotions &amp; deploys</t>
        </is>
      </c>
      <c r="D111" t="inlineStr"/>
      <c r="E111" t="inlineStr"/>
      <c r="F111" t="inlineStr">
        <is>
          <t>claude-haiku-4-5-20251001</t>
        </is>
      </c>
      <c r="G111" t="inlineStr">
        <is>
          <t>claude-haiku-4-5</t>
        </is>
      </c>
      <c r="H111" s="36" t="n">
        <v>1</v>
      </c>
      <c r="I111" s="36" t="n">
        <v>294</v>
      </c>
      <c r="J111" s="36" t="n">
        <v>1294</v>
      </c>
      <c r="K111" s="36" t="n">
        <v>4941</v>
      </c>
      <c r="L111" s="36" t="n">
        <v>101176</v>
      </c>
      <c r="M111" s="36" t="n">
        <v>1117</v>
      </c>
      <c r="N111" s="14">
        <f>IFERROR((I111*VLOOKUP($G111,'Claude Prices'!$A$5:$G$22,3,FALSE)+J111*VLOOKUP($G111,'Claude Prices'!$A$5:$G$22,4,FALSE)+K111*VLOOKUP($G111,'Claude Prices'!$A$5:$G$22,5,FALSE)+L111*VLOOKUP($G111,'Claude Prices'!$A$5:$G$22,6,FALSE)+M111*VLOOKUP($G111,'Claude Prices'!$A$5:$G$22,7,FALSE))/1000000,0)</f>
        <v/>
      </c>
      <c r="O111" s="14">
        <f>N111*ClaudeFxRate</f>
        <v/>
      </c>
    </row>
    <row r="112">
      <c r="A112" s="26" t="n">
        <v>46121</v>
      </c>
      <c r="B112" t="inlineStr">
        <is>
          <t>story</t>
        </is>
      </c>
      <c r="C112" t="inlineStr">
        <is>
          <t>FAL-13</t>
        </is>
      </c>
      <c r="D112" t="inlineStr">
        <is>
          <t>1.3</t>
        </is>
      </c>
      <c r="E112" t="inlineStr">
        <is>
          <t>Upload documents</t>
        </is>
      </c>
      <c r="F112" t="inlineStr">
        <is>
          <t>claude-haiku-4-5-20251001</t>
        </is>
      </c>
      <c r="G112" t="inlineStr">
        <is>
          <t>claude-haiku-4-5</t>
        </is>
      </c>
      <c r="H112" s="36" t="n">
        <v>8</v>
      </c>
      <c r="I112" s="36" t="n">
        <v>1500</v>
      </c>
      <c r="J112" s="36" t="n">
        <v>7500</v>
      </c>
      <c r="K112" s="36" t="n">
        <v>25000</v>
      </c>
      <c r="L112" s="36" t="n">
        <v>516666</v>
      </c>
      <c r="M112" s="36" t="n">
        <v>5833</v>
      </c>
      <c r="N112" s="14">
        <f>IFERROR((I112*VLOOKUP($G112,'Claude Prices'!$A$5:$G$22,3,FALSE)+J112*VLOOKUP($G112,'Claude Prices'!$A$5:$G$22,4,FALSE)+K112*VLOOKUP($G112,'Claude Prices'!$A$5:$G$22,5,FALSE)+L112*VLOOKUP($G112,'Claude Prices'!$A$5:$G$22,6,FALSE)+M112*VLOOKUP($G112,'Claude Prices'!$A$5:$G$22,7,FALSE))/1000000,0)</f>
        <v/>
      </c>
      <c r="O112" s="14">
        <f>N112*ClaudeFxRate</f>
        <v/>
      </c>
    </row>
    <row r="113">
      <c r="A113" s="26" t="n">
        <v>46121</v>
      </c>
      <c r="B113" t="inlineStr">
        <is>
          <t>story</t>
        </is>
      </c>
      <c r="C113" t="inlineStr">
        <is>
          <t>FAL-13</t>
        </is>
      </c>
      <c r="D113" t="inlineStr">
        <is>
          <t>1.3</t>
        </is>
      </c>
      <c r="E113" t="inlineStr">
        <is>
          <t>Upload documents</t>
        </is>
      </c>
      <c r="F113" t="inlineStr">
        <is>
          <t>claude-sonnet-5</t>
        </is>
      </c>
      <c r="G113" t="inlineStr">
        <is>
          <t>claude-sonnet-5</t>
        </is>
      </c>
      <c r="H113" s="36" t="n">
        <v>20</v>
      </c>
      <c r="I113" s="36" t="n">
        <v>3833</v>
      </c>
      <c r="J113" s="36" t="n">
        <v>50000</v>
      </c>
      <c r="K113" s="36" t="n">
        <v>208333</v>
      </c>
      <c r="L113" s="36" t="n">
        <v>3341666</v>
      </c>
      <c r="M113" s="36" t="n">
        <v>50833</v>
      </c>
      <c r="N113" s="14">
        <f>IFERROR((I113*VLOOKUP($G113,'Claude Prices'!$A$5:$G$22,3,FALSE)+J113*VLOOKUP($G113,'Claude Prices'!$A$5:$G$22,4,FALSE)+K113*VLOOKUP($G113,'Claude Prices'!$A$5:$G$22,5,FALSE)+L113*VLOOKUP($G113,'Claude Prices'!$A$5:$G$22,6,FALSE)+M113*VLOOKUP($G113,'Claude Prices'!$A$5:$G$22,7,FALSE))/1000000,0)</f>
        <v/>
      </c>
      <c r="O113" s="14">
        <f>N113*ClaudeFxRate</f>
        <v/>
      </c>
    </row>
    <row r="114">
      <c r="A114" s="26" t="n">
        <v>46121</v>
      </c>
      <c r="B114" t="inlineStr">
        <is>
          <t>ops</t>
        </is>
      </c>
      <c r="C114" t="inlineStr">
        <is>
          <t>merges, promotions &amp; deploys</t>
        </is>
      </c>
      <c r="D114" t="inlineStr"/>
      <c r="E114" t="inlineStr"/>
      <c r="F114" t="inlineStr">
        <is>
          <t>claude-haiku-4-5-20251001</t>
        </is>
      </c>
      <c r="G114" t="inlineStr">
        <is>
          <t>claude-haiku-4-5</t>
        </is>
      </c>
      <c r="H114" s="36" t="n">
        <v>1</v>
      </c>
      <c r="I114" s="36" t="n">
        <v>294</v>
      </c>
      <c r="J114" s="36" t="n">
        <v>1294</v>
      </c>
      <c r="K114" s="36" t="n">
        <v>4941</v>
      </c>
      <c r="L114" s="36" t="n">
        <v>101176</v>
      </c>
      <c r="M114" s="36" t="n">
        <v>1117</v>
      </c>
      <c r="N114" s="14">
        <f>IFERROR((I114*VLOOKUP($G114,'Claude Prices'!$A$5:$G$22,3,FALSE)+J114*VLOOKUP($G114,'Claude Prices'!$A$5:$G$22,4,FALSE)+K114*VLOOKUP($G114,'Claude Prices'!$A$5:$G$22,5,FALSE)+L114*VLOOKUP($G114,'Claude Prices'!$A$5:$G$22,6,FALSE)+M114*VLOOKUP($G114,'Claude Prices'!$A$5:$G$22,7,FALSE))/1000000,0)</f>
        <v/>
      </c>
      <c r="O114" s="14">
        <f>N114*ClaudeFxRate</f>
        <v/>
      </c>
    </row>
    <row r="115">
      <c r="A115" s="26" t="n">
        <v>46122</v>
      </c>
      <c r="B115" t="inlineStr">
        <is>
          <t>story</t>
        </is>
      </c>
      <c r="C115" t="inlineStr">
        <is>
          <t>FAL-13</t>
        </is>
      </c>
      <c r="D115" t="inlineStr">
        <is>
          <t>1.3</t>
        </is>
      </c>
      <c r="E115" t="inlineStr">
        <is>
          <t>Upload documents</t>
        </is>
      </c>
      <c r="F115" t="inlineStr">
        <is>
          <t>claude-haiku-4-5-20251001</t>
        </is>
      </c>
      <c r="G115" t="inlineStr">
        <is>
          <t>claude-haiku-4-5</t>
        </is>
      </c>
      <c r="H115" s="36" t="n">
        <v>8</v>
      </c>
      <c r="I115" s="36" t="n">
        <v>1500</v>
      </c>
      <c r="J115" s="36" t="n">
        <v>7500</v>
      </c>
      <c r="K115" s="36" t="n">
        <v>25000</v>
      </c>
      <c r="L115" s="36" t="n">
        <v>516666</v>
      </c>
      <c r="M115" s="36" t="n">
        <v>5833</v>
      </c>
      <c r="N115" s="14">
        <f>IFERROR((I115*VLOOKUP($G115,'Claude Prices'!$A$5:$G$22,3,FALSE)+J115*VLOOKUP($G115,'Claude Prices'!$A$5:$G$22,4,FALSE)+K115*VLOOKUP($G115,'Claude Prices'!$A$5:$G$22,5,FALSE)+L115*VLOOKUP($G115,'Claude Prices'!$A$5:$G$22,6,FALSE)+M115*VLOOKUP($G115,'Claude Prices'!$A$5:$G$22,7,FALSE))/1000000,0)</f>
        <v/>
      </c>
      <c r="O115" s="14">
        <f>N115*ClaudeFxRate</f>
        <v/>
      </c>
    </row>
    <row r="116">
      <c r="A116" s="26" t="n">
        <v>46122</v>
      </c>
      <c r="B116" t="inlineStr">
        <is>
          <t>story</t>
        </is>
      </c>
      <c r="C116" t="inlineStr">
        <is>
          <t>FAL-13</t>
        </is>
      </c>
      <c r="D116" t="inlineStr">
        <is>
          <t>1.3</t>
        </is>
      </c>
      <c r="E116" t="inlineStr">
        <is>
          <t>Upload documents</t>
        </is>
      </c>
      <c r="F116" t="inlineStr">
        <is>
          <t>claude-sonnet-5</t>
        </is>
      </c>
      <c r="G116" t="inlineStr">
        <is>
          <t>claude-sonnet-5</t>
        </is>
      </c>
      <c r="H116" s="36" t="n">
        <v>20</v>
      </c>
      <c r="I116" s="36" t="n">
        <v>3833</v>
      </c>
      <c r="J116" s="36" t="n">
        <v>50000</v>
      </c>
      <c r="K116" s="36" t="n">
        <v>208333</v>
      </c>
      <c r="L116" s="36" t="n">
        <v>3341666</v>
      </c>
      <c r="M116" s="36" t="n">
        <v>50833</v>
      </c>
      <c r="N116" s="14">
        <f>IFERROR((I116*VLOOKUP($G116,'Claude Prices'!$A$5:$G$22,3,FALSE)+J116*VLOOKUP($G116,'Claude Prices'!$A$5:$G$22,4,FALSE)+K116*VLOOKUP($G116,'Claude Prices'!$A$5:$G$22,5,FALSE)+L116*VLOOKUP($G116,'Claude Prices'!$A$5:$G$22,6,FALSE)+M116*VLOOKUP($G116,'Claude Prices'!$A$5:$G$22,7,FALSE))/1000000,0)</f>
        <v/>
      </c>
      <c r="O116" s="14">
        <f>N116*ClaudeFxRate</f>
        <v/>
      </c>
    </row>
    <row r="117">
      <c r="A117" s="26" t="n">
        <v>46122</v>
      </c>
      <c r="B117" t="inlineStr">
        <is>
          <t>ops</t>
        </is>
      </c>
      <c r="C117" t="inlineStr">
        <is>
          <t>merges, promotions &amp; deploys</t>
        </is>
      </c>
      <c r="D117" t="inlineStr"/>
      <c r="E117" t="inlineStr"/>
      <c r="F117" t="inlineStr">
        <is>
          <t>claude-haiku-4-5-20251001</t>
        </is>
      </c>
      <c r="G117" t="inlineStr">
        <is>
          <t>claude-haiku-4-5</t>
        </is>
      </c>
      <c r="H117" s="36" t="n">
        <v>1</v>
      </c>
      <c r="I117" s="36" t="n">
        <v>294</v>
      </c>
      <c r="J117" s="36" t="n">
        <v>1294</v>
      </c>
      <c r="K117" s="36" t="n">
        <v>4941</v>
      </c>
      <c r="L117" s="36" t="n">
        <v>101176</v>
      </c>
      <c r="M117" s="36" t="n">
        <v>1117</v>
      </c>
      <c r="N117" s="14">
        <f>IFERROR((I117*VLOOKUP($G117,'Claude Prices'!$A$5:$G$22,3,FALSE)+J117*VLOOKUP($G117,'Claude Prices'!$A$5:$G$22,4,FALSE)+K117*VLOOKUP($G117,'Claude Prices'!$A$5:$G$22,5,FALSE)+L117*VLOOKUP($G117,'Claude Prices'!$A$5:$G$22,6,FALSE)+M117*VLOOKUP($G117,'Claude Prices'!$A$5:$G$22,7,FALSE))/1000000,0)</f>
        <v/>
      </c>
      <c r="O117" s="14">
        <f>N117*ClaudeFxRate</f>
        <v/>
      </c>
    </row>
    <row r="118">
      <c r="A118" s="26" t="n">
        <v>46125</v>
      </c>
      <c r="B118" t="inlineStr">
        <is>
          <t>story</t>
        </is>
      </c>
      <c r="C118" t="inlineStr">
        <is>
          <t>FAL-13</t>
        </is>
      </c>
      <c r="D118" t="inlineStr">
        <is>
          <t>1.3</t>
        </is>
      </c>
      <c r="E118" t="inlineStr">
        <is>
          <t>Upload documents</t>
        </is>
      </c>
      <c r="F118" t="inlineStr">
        <is>
          <t>claude-haiku-4-5-20251001</t>
        </is>
      </c>
      <c r="G118" t="inlineStr">
        <is>
          <t>claude-haiku-4-5</t>
        </is>
      </c>
      <c r="H118" s="36" t="n">
        <v>8</v>
      </c>
      <c r="I118" s="36" t="n">
        <v>1500</v>
      </c>
      <c r="J118" s="36" t="n">
        <v>7500</v>
      </c>
      <c r="K118" s="36" t="n">
        <v>25000</v>
      </c>
      <c r="L118" s="36" t="n">
        <v>516666</v>
      </c>
      <c r="M118" s="36" t="n">
        <v>5833</v>
      </c>
      <c r="N118" s="14">
        <f>IFERROR((I118*VLOOKUP($G118,'Claude Prices'!$A$5:$G$22,3,FALSE)+J118*VLOOKUP($G118,'Claude Prices'!$A$5:$G$22,4,FALSE)+K118*VLOOKUP($G118,'Claude Prices'!$A$5:$G$22,5,FALSE)+L118*VLOOKUP($G118,'Claude Prices'!$A$5:$G$22,6,FALSE)+M118*VLOOKUP($G118,'Claude Prices'!$A$5:$G$22,7,FALSE))/1000000,0)</f>
        <v/>
      </c>
      <c r="O118" s="14">
        <f>N118*ClaudeFxRate</f>
        <v/>
      </c>
    </row>
    <row r="119">
      <c r="A119" s="26" t="n">
        <v>46125</v>
      </c>
      <c r="B119" t="inlineStr">
        <is>
          <t>story</t>
        </is>
      </c>
      <c r="C119" t="inlineStr">
        <is>
          <t>FAL-13</t>
        </is>
      </c>
      <c r="D119" t="inlineStr">
        <is>
          <t>1.3</t>
        </is>
      </c>
      <c r="E119" t="inlineStr">
        <is>
          <t>Upload documents</t>
        </is>
      </c>
      <c r="F119" t="inlineStr">
        <is>
          <t>claude-sonnet-5</t>
        </is>
      </c>
      <c r="G119" t="inlineStr">
        <is>
          <t>claude-sonnet-5</t>
        </is>
      </c>
      <c r="H119" s="36" t="n">
        <v>20</v>
      </c>
      <c r="I119" s="36" t="n">
        <v>3833</v>
      </c>
      <c r="J119" s="36" t="n">
        <v>50000</v>
      </c>
      <c r="K119" s="36" t="n">
        <v>208333</v>
      </c>
      <c r="L119" s="36" t="n">
        <v>3341666</v>
      </c>
      <c r="M119" s="36" t="n">
        <v>50833</v>
      </c>
      <c r="N119" s="14">
        <f>IFERROR((I119*VLOOKUP($G119,'Claude Prices'!$A$5:$G$22,3,FALSE)+J119*VLOOKUP($G119,'Claude Prices'!$A$5:$G$22,4,FALSE)+K119*VLOOKUP($G119,'Claude Prices'!$A$5:$G$22,5,FALSE)+L119*VLOOKUP($G119,'Claude Prices'!$A$5:$G$22,6,FALSE)+M119*VLOOKUP($G119,'Claude Prices'!$A$5:$G$22,7,FALSE))/1000000,0)</f>
        <v/>
      </c>
      <c r="O119" s="14">
        <f>N119*ClaudeFxRate</f>
        <v/>
      </c>
    </row>
    <row r="120">
      <c r="A120" s="26" t="n">
        <v>46125</v>
      </c>
      <c r="B120" t="inlineStr">
        <is>
          <t>ops</t>
        </is>
      </c>
      <c r="C120" t="inlineStr">
        <is>
          <t>merges, promotions &amp; deploys</t>
        </is>
      </c>
      <c r="D120" t="inlineStr"/>
      <c r="E120" t="inlineStr"/>
      <c r="F120" t="inlineStr">
        <is>
          <t>claude-haiku-4-5-20251001</t>
        </is>
      </c>
      <c r="G120" t="inlineStr">
        <is>
          <t>claude-haiku-4-5</t>
        </is>
      </c>
      <c r="H120" s="36" t="n">
        <v>1</v>
      </c>
      <c r="I120" s="36" t="n">
        <v>294</v>
      </c>
      <c r="J120" s="36" t="n">
        <v>1294</v>
      </c>
      <c r="K120" s="36" t="n">
        <v>4941</v>
      </c>
      <c r="L120" s="36" t="n">
        <v>101176</v>
      </c>
      <c r="M120" s="36" t="n">
        <v>1117</v>
      </c>
      <c r="N120" s="14">
        <f>IFERROR((I120*VLOOKUP($G120,'Claude Prices'!$A$5:$G$22,3,FALSE)+J120*VLOOKUP($G120,'Claude Prices'!$A$5:$G$22,4,FALSE)+K120*VLOOKUP($G120,'Claude Prices'!$A$5:$G$22,5,FALSE)+L120*VLOOKUP($G120,'Claude Prices'!$A$5:$G$22,6,FALSE)+M120*VLOOKUP($G120,'Claude Prices'!$A$5:$G$22,7,FALSE))/1000000,0)</f>
        <v/>
      </c>
      <c r="O120" s="14">
        <f>N120*ClaudeFxRate</f>
        <v/>
      </c>
    </row>
    <row r="121">
      <c r="A121" s="26" t="n">
        <v>46126</v>
      </c>
      <c r="B121" t="inlineStr">
        <is>
          <t>story</t>
        </is>
      </c>
      <c r="C121" t="inlineStr">
        <is>
          <t>FAL-13</t>
        </is>
      </c>
      <c r="D121" t="inlineStr">
        <is>
          <t>1.3</t>
        </is>
      </c>
      <c r="E121" t="inlineStr">
        <is>
          <t>Upload documents</t>
        </is>
      </c>
      <c r="F121" t="inlineStr">
        <is>
          <t>claude-haiku-4-5-20251001</t>
        </is>
      </c>
      <c r="G121" t="inlineStr">
        <is>
          <t>claude-haiku-4-5</t>
        </is>
      </c>
      <c r="H121" s="36" t="n">
        <v>8</v>
      </c>
      <c r="I121" s="36" t="n">
        <v>1500</v>
      </c>
      <c r="J121" s="36" t="n">
        <v>7500</v>
      </c>
      <c r="K121" s="36" t="n">
        <v>25000</v>
      </c>
      <c r="L121" s="36" t="n">
        <v>516666</v>
      </c>
      <c r="M121" s="36" t="n">
        <v>5833</v>
      </c>
      <c r="N121" s="14">
        <f>IFERROR((I121*VLOOKUP($G121,'Claude Prices'!$A$5:$G$22,3,FALSE)+J121*VLOOKUP($G121,'Claude Prices'!$A$5:$G$22,4,FALSE)+K121*VLOOKUP($G121,'Claude Prices'!$A$5:$G$22,5,FALSE)+L121*VLOOKUP($G121,'Claude Prices'!$A$5:$G$22,6,FALSE)+M121*VLOOKUP($G121,'Claude Prices'!$A$5:$G$22,7,FALSE))/1000000,0)</f>
        <v/>
      </c>
      <c r="O121" s="14">
        <f>N121*ClaudeFxRate</f>
        <v/>
      </c>
    </row>
    <row r="122">
      <c r="A122" s="26" t="n">
        <v>46126</v>
      </c>
      <c r="B122" t="inlineStr">
        <is>
          <t>story</t>
        </is>
      </c>
      <c r="C122" t="inlineStr">
        <is>
          <t>FAL-13</t>
        </is>
      </c>
      <c r="D122" t="inlineStr">
        <is>
          <t>1.3</t>
        </is>
      </c>
      <c r="E122" t="inlineStr">
        <is>
          <t>Upload documents</t>
        </is>
      </c>
      <c r="F122" t="inlineStr">
        <is>
          <t>claude-sonnet-5</t>
        </is>
      </c>
      <c r="G122" t="inlineStr">
        <is>
          <t>claude-sonnet-5</t>
        </is>
      </c>
      <c r="H122" s="36" t="n">
        <v>20</v>
      </c>
      <c r="I122" s="36" t="n">
        <v>3833</v>
      </c>
      <c r="J122" s="36" t="n">
        <v>50000</v>
      </c>
      <c r="K122" s="36" t="n">
        <v>208333</v>
      </c>
      <c r="L122" s="36" t="n">
        <v>3341666</v>
      </c>
      <c r="M122" s="36" t="n">
        <v>50833</v>
      </c>
      <c r="N122" s="14">
        <f>IFERROR((I122*VLOOKUP($G122,'Claude Prices'!$A$5:$G$22,3,FALSE)+J122*VLOOKUP($G122,'Claude Prices'!$A$5:$G$22,4,FALSE)+K122*VLOOKUP($G122,'Claude Prices'!$A$5:$G$22,5,FALSE)+L122*VLOOKUP($G122,'Claude Prices'!$A$5:$G$22,6,FALSE)+M122*VLOOKUP($G122,'Claude Prices'!$A$5:$G$22,7,FALSE))/1000000,0)</f>
        <v/>
      </c>
      <c r="O122" s="14">
        <f>N122*ClaudeFxRate</f>
        <v/>
      </c>
    </row>
    <row r="123">
      <c r="A123" s="26" t="n">
        <v>46126</v>
      </c>
      <c r="B123" t="inlineStr">
        <is>
          <t>ops</t>
        </is>
      </c>
      <c r="C123" t="inlineStr">
        <is>
          <t>merges, promotions &amp; deploys</t>
        </is>
      </c>
      <c r="D123" t="inlineStr"/>
      <c r="E123" t="inlineStr"/>
      <c r="F123" t="inlineStr">
        <is>
          <t>claude-haiku-4-5-20251001</t>
        </is>
      </c>
      <c r="G123" t="inlineStr">
        <is>
          <t>claude-haiku-4-5</t>
        </is>
      </c>
      <c r="H123" s="36" t="n">
        <v>1</v>
      </c>
      <c r="I123" s="36" t="n">
        <v>294</v>
      </c>
      <c r="J123" s="36" t="n">
        <v>1294</v>
      </c>
      <c r="K123" s="36" t="n">
        <v>4941</v>
      </c>
      <c r="L123" s="36" t="n">
        <v>101176</v>
      </c>
      <c r="M123" s="36" t="n">
        <v>1117</v>
      </c>
      <c r="N123" s="14">
        <f>IFERROR((I123*VLOOKUP($G123,'Claude Prices'!$A$5:$G$22,3,FALSE)+J123*VLOOKUP($G123,'Claude Prices'!$A$5:$G$22,4,FALSE)+K123*VLOOKUP($G123,'Claude Prices'!$A$5:$G$22,5,FALSE)+L123*VLOOKUP($G123,'Claude Prices'!$A$5:$G$22,6,FALSE)+M123*VLOOKUP($G123,'Claude Prices'!$A$5:$G$22,7,FALSE))/1000000,0)</f>
        <v/>
      </c>
      <c r="O123" s="14">
        <f>N123*ClaudeFxRate</f>
        <v/>
      </c>
    </row>
    <row r="124">
      <c r="A124" s="26" t="n">
        <v>46127</v>
      </c>
      <c r="B124" t="inlineStr">
        <is>
          <t>story</t>
        </is>
      </c>
      <c r="C124" t="inlineStr">
        <is>
          <t>FAL-13</t>
        </is>
      </c>
      <c r="D124" t="inlineStr">
        <is>
          <t>1.3</t>
        </is>
      </c>
      <c r="E124" t="inlineStr">
        <is>
          <t>Upload documents</t>
        </is>
      </c>
      <c r="F124" t="inlineStr">
        <is>
          <t>claude-haiku-4-5-20251001</t>
        </is>
      </c>
      <c r="G124" t="inlineStr">
        <is>
          <t>claude-haiku-4-5</t>
        </is>
      </c>
      <c r="H124" s="36" t="n">
        <v>8</v>
      </c>
      <c r="I124" s="36" t="n">
        <v>1500</v>
      </c>
      <c r="J124" s="36" t="n">
        <v>7500</v>
      </c>
      <c r="K124" s="36" t="n">
        <v>25000</v>
      </c>
      <c r="L124" s="36" t="n">
        <v>516666</v>
      </c>
      <c r="M124" s="36" t="n">
        <v>5833</v>
      </c>
      <c r="N124" s="14">
        <f>IFERROR((I124*VLOOKUP($G124,'Claude Prices'!$A$5:$G$22,3,FALSE)+J124*VLOOKUP($G124,'Claude Prices'!$A$5:$G$22,4,FALSE)+K124*VLOOKUP($G124,'Claude Prices'!$A$5:$G$22,5,FALSE)+L124*VLOOKUP($G124,'Claude Prices'!$A$5:$G$22,6,FALSE)+M124*VLOOKUP($G124,'Claude Prices'!$A$5:$G$22,7,FALSE))/1000000,0)</f>
        <v/>
      </c>
      <c r="O124" s="14">
        <f>N124*ClaudeFxRate</f>
        <v/>
      </c>
    </row>
    <row r="125">
      <c r="A125" s="26" t="n">
        <v>46127</v>
      </c>
      <c r="B125" t="inlineStr">
        <is>
          <t>story</t>
        </is>
      </c>
      <c r="C125" t="inlineStr">
        <is>
          <t>FAL-13</t>
        </is>
      </c>
      <c r="D125" t="inlineStr">
        <is>
          <t>1.3</t>
        </is>
      </c>
      <c r="E125" t="inlineStr">
        <is>
          <t>Upload documents</t>
        </is>
      </c>
      <c r="F125" t="inlineStr">
        <is>
          <t>claude-sonnet-5</t>
        </is>
      </c>
      <c r="G125" t="inlineStr">
        <is>
          <t>claude-sonnet-5</t>
        </is>
      </c>
      <c r="H125" s="36" t="n">
        <v>20</v>
      </c>
      <c r="I125" s="36" t="n">
        <v>3833</v>
      </c>
      <c r="J125" s="36" t="n">
        <v>50000</v>
      </c>
      <c r="K125" s="36" t="n">
        <v>208333</v>
      </c>
      <c r="L125" s="36" t="n">
        <v>3341666</v>
      </c>
      <c r="M125" s="36" t="n">
        <v>50833</v>
      </c>
      <c r="N125" s="14">
        <f>IFERROR((I125*VLOOKUP($G125,'Claude Prices'!$A$5:$G$22,3,FALSE)+J125*VLOOKUP($G125,'Claude Prices'!$A$5:$G$22,4,FALSE)+K125*VLOOKUP($G125,'Claude Prices'!$A$5:$G$22,5,FALSE)+L125*VLOOKUP($G125,'Claude Prices'!$A$5:$G$22,6,FALSE)+M125*VLOOKUP($G125,'Claude Prices'!$A$5:$G$22,7,FALSE))/1000000,0)</f>
        <v/>
      </c>
      <c r="O125" s="14">
        <f>N125*ClaudeFxRate</f>
        <v/>
      </c>
    </row>
    <row r="126">
      <c r="A126" s="26" t="n">
        <v>46127</v>
      </c>
      <c r="B126" t="inlineStr">
        <is>
          <t>ops</t>
        </is>
      </c>
      <c r="C126" t="inlineStr">
        <is>
          <t>merges, promotions &amp; deploys</t>
        </is>
      </c>
      <c r="D126" t="inlineStr"/>
      <c r="E126" t="inlineStr"/>
      <c r="F126" t="inlineStr">
        <is>
          <t>claude-haiku-4-5-20251001</t>
        </is>
      </c>
      <c r="G126" t="inlineStr">
        <is>
          <t>claude-haiku-4-5</t>
        </is>
      </c>
      <c r="H126" s="36" t="n">
        <v>1</v>
      </c>
      <c r="I126" s="36" t="n">
        <v>294</v>
      </c>
      <c r="J126" s="36" t="n">
        <v>1294</v>
      </c>
      <c r="K126" s="36" t="n">
        <v>4941</v>
      </c>
      <c r="L126" s="36" t="n">
        <v>101176</v>
      </c>
      <c r="M126" s="36" t="n">
        <v>1117</v>
      </c>
      <c r="N126" s="14">
        <f>IFERROR((I126*VLOOKUP($G126,'Claude Prices'!$A$5:$G$22,3,FALSE)+J126*VLOOKUP($G126,'Claude Prices'!$A$5:$G$22,4,FALSE)+K126*VLOOKUP($G126,'Claude Prices'!$A$5:$G$22,5,FALSE)+L126*VLOOKUP($G126,'Claude Prices'!$A$5:$G$22,6,FALSE)+M126*VLOOKUP($G126,'Claude Prices'!$A$5:$G$22,7,FALSE))/1000000,0)</f>
        <v/>
      </c>
      <c r="O126" s="14">
        <f>N126*ClaudeFxRate</f>
        <v/>
      </c>
    </row>
    <row r="127">
      <c r="A127" s="26" t="n">
        <v>46128</v>
      </c>
      <c r="B127" t="inlineStr">
        <is>
          <t>story</t>
        </is>
      </c>
      <c r="C127" t="inlineStr">
        <is>
          <t>FAL-13</t>
        </is>
      </c>
      <c r="D127" t="inlineStr">
        <is>
          <t>1.3</t>
        </is>
      </c>
      <c r="E127" t="inlineStr">
        <is>
          <t>Upload documents</t>
        </is>
      </c>
      <c r="F127" t="inlineStr">
        <is>
          <t>claude-haiku-4-5-20251001</t>
        </is>
      </c>
      <c r="G127" t="inlineStr">
        <is>
          <t>claude-haiku-4-5</t>
        </is>
      </c>
      <c r="H127" s="36" t="n">
        <v>8</v>
      </c>
      <c r="I127" s="36" t="n">
        <v>1500</v>
      </c>
      <c r="J127" s="36" t="n">
        <v>7500</v>
      </c>
      <c r="K127" s="36" t="n">
        <v>25000</v>
      </c>
      <c r="L127" s="36" t="n">
        <v>516666</v>
      </c>
      <c r="M127" s="36" t="n">
        <v>5833</v>
      </c>
      <c r="N127" s="14">
        <f>IFERROR((I127*VLOOKUP($G127,'Claude Prices'!$A$5:$G$22,3,FALSE)+J127*VLOOKUP($G127,'Claude Prices'!$A$5:$G$22,4,FALSE)+K127*VLOOKUP($G127,'Claude Prices'!$A$5:$G$22,5,FALSE)+L127*VLOOKUP($G127,'Claude Prices'!$A$5:$G$22,6,FALSE)+M127*VLOOKUP($G127,'Claude Prices'!$A$5:$G$22,7,FALSE))/1000000,0)</f>
        <v/>
      </c>
      <c r="O127" s="14">
        <f>N127*ClaudeFxRate</f>
        <v/>
      </c>
    </row>
    <row r="128">
      <c r="A128" s="26" t="n">
        <v>46128</v>
      </c>
      <c r="B128" t="inlineStr">
        <is>
          <t>story</t>
        </is>
      </c>
      <c r="C128" t="inlineStr">
        <is>
          <t>FAL-13</t>
        </is>
      </c>
      <c r="D128" t="inlineStr">
        <is>
          <t>1.3</t>
        </is>
      </c>
      <c r="E128" t="inlineStr">
        <is>
          <t>Upload documents</t>
        </is>
      </c>
      <c r="F128" t="inlineStr">
        <is>
          <t>claude-sonnet-5</t>
        </is>
      </c>
      <c r="G128" t="inlineStr">
        <is>
          <t>claude-sonnet-5</t>
        </is>
      </c>
      <c r="H128" s="36" t="n">
        <v>20</v>
      </c>
      <c r="I128" s="36" t="n">
        <v>3833</v>
      </c>
      <c r="J128" s="36" t="n">
        <v>50000</v>
      </c>
      <c r="K128" s="36" t="n">
        <v>208333</v>
      </c>
      <c r="L128" s="36" t="n">
        <v>3341666</v>
      </c>
      <c r="M128" s="36" t="n">
        <v>50833</v>
      </c>
      <c r="N128" s="14">
        <f>IFERROR((I128*VLOOKUP($G128,'Claude Prices'!$A$5:$G$22,3,FALSE)+J128*VLOOKUP($G128,'Claude Prices'!$A$5:$G$22,4,FALSE)+K128*VLOOKUP($G128,'Claude Prices'!$A$5:$G$22,5,FALSE)+L128*VLOOKUP($G128,'Claude Prices'!$A$5:$G$22,6,FALSE)+M128*VLOOKUP($G128,'Claude Prices'!$A$5:$G$22,7,FALSE))/1000000,0)</f>
        <v/>
      </c>
      <c r="O128" s="14">
        <f>N128*ClaudeFxRate</f>
        <v/>
      </c>
    </row>
    <row r="129">
      <c r="A129" s="26" t="n">
        <v>46128</v>
      </c>
      <c r="B129" t="inlineStr">
        <is>
          <t>ops</t>
        </is>
      </c>
      <c r="C129" t="inlineStr">
        <is>
          <t>merges, promotions &amp; deploys</t>
        </is>
      </c>
      <c r="D129" t="inlineStr"/>
      <c r="E129" t="inlineStr"/>
      <c r="F129" t="inlineStr">
        <is>
          <t>claude-haiku-4-5-20251001</t>
        </is>
      </c>
      <c r="G129" t="inlineStr">
        <is>
          <t>claude-haiku-4-5</t>
        </is>
      </c>
      <c r="H129" s="36" t="n">
        <v>1</v>
      </c>
      <c r="I129" s="36" t="n">
        <v>294</v>
      </c>
      <c r="J129" s="36" t="n">
        <v>1294</v>
      </c>
      <c r="K129" s="36" t="n">
        <v>4941</v>
      </c>
      <c r="L129" s="36" t="n">
        <v>101176</v>
      </c>
      <c r="M129" s="36" t="n">
        <v>1117</v>
      </c>
      <c r="N129" s="14">
        <f>IFERROR((I129*VLOOKUP($G129,'Claude Prices'!$A$5:$G$22,3,FALSE)+J129*VLOOKUP($G129,'Claude Prices'!$A$5:$G$22,4,FALSE)+K129*VLOOKUP($G129,'Claude Prices'!$A$5:$G$22,5,FALSE)+L129*VLOOKUP($G129,'Claude Prices'!$A$5:$G$22,6,FALSE)+M129*VLOOKUP($G129,'Claude Prices'!$A$5:$G$22,7,FALSE))/1000000,0)</f>
        <v/>
      </c>
      <c r="O129" s="14">
        <f>N129*ClaudeFxRate</f>
        <v/>
      </c>
    </row>
    <row r="130">
      <c r="A130" s="26" t="n">
        <v>46129</v>
      </c>
      <c r="B130" t="inlineStr">
        <is>
          <t>story</t>
        </is>
      </c>
      <c r="C130" t="inlineStr">
        <is>
          <t>FAL-13</t>
        </is>
      </c>
      <c r="D130" t="inlineStr">
        <is>
          <t>1.3</t>
        </is>
      </c>
      <c r="E130" t="inlineStr">
        <is>
          <t>Upload documents</t>
        </is>
      </c>
      <c r="F130" t="inlineStr">
        <is>
          <t>claude-haiku-4-5-20251001</t>
        </is>
      </c>
      <c r="G130" t="inlineStr">
        <is>
          <t>claude-haiku-4-5</t>
        </is>
      </c>
      <c r="H130" s="36" t="n">
        <v>8</v>
      </c>
      <c r="I130" s="36" t="n">
        <v>1500</v>
      </c>
      <c r="J130" s="36" t="n">
        <v>7500</v>
      </c>
      <c r="K130" s="36" t="n">
        <v>25000</v>
      </c>
      <c r="L130" s="36" t="n">
        <v>516666</v>
      </c>
      <c r="M130" s="36" t="n">
        <v>5833</v>
      </c>
      <c r="N130" s="14">
        <f>IFERROR((I130*VLOOKUP($G130,'Claude Prices'!$A$5:$G$22,3,FALSE)+J130*VLOOKUP($G130,'Claude Prices'!$A$5:$G$22,4,FALSE)+K130*VLOOKUP($G130,'Claude Prices'!$A$5:$G$22,5,FALSE)+L130*VLOOKUP($G130,'Claude Prices'!$A$5:$G$22,6,FALSE)+M130*VLOOKUP($G130,'Claude Prices'!$A$5:$G$22,7,FALSE))/1000000,0)</f>
        <v/>
      </c>
      <c r="O130" s="14">
        <f>N130*ClaudeFxRate</f>
        <v/>
      </c>
    </row>
    <row r="131">
      <c r="A131" s="26" t="n">
        <v>46129</v>
      </c>
      <c r="B131" t="inlineStr">
        <is>
          <t>story</t>
        </is>
      </c>
      <c r="C131" t="inlineStr">
        <is>
          <t>FAL-13</t>
        </is>
      </c>
      <c r="D131" t="inlineStr">
        <is>
          <t>1.3</t>
        </is>
      </c>
      <c r="E131" t="inlineStr">
        <is>
          <t>Upload documents</t>
        </is>
      </c>
      <c r="F131" t="inlineStr">
        <is>
          <t>claude-sonnet-5</t>
        </is>
      </c>
      <c r="G131" t="inlineStr">
        <is>
          <t>claude-sonnet-5</t>
        </is>
      </c>
      <c r="H131" s="36" t="n">
        <v>20</v>
      </c>
      <c r="I131" s="36" t="n">
        <v>3833</v>
      </c>
      <c r="J131" s="36" t="n">
        <v>50000</v>
      </c>
      <c r="K131" s="36" t="n">
        <v>208333</v>
      </c>
      <c r="L131" s="36" t="n">
        <v>3341666</v>
      </c>
      <c r="M131" s="36" t="n">
        <v>50833</v>
      </c>
      <c r="N131" s="14">
        <f>IFERROR((I131*VLOOKUP($G131,'Claude Prices'!$A$5:$G$22,3,FALSE)+J131*VLOOKUP($G131,'Claude Prices'!$A$5:$G$22,4,FALSE)+K131*VLOOKUP($G131,'Claude Prices'!$A$5:$G$22,5,FALSE)+L131*VLOOKUP($G131,'Claude Prices'!$A$5:$G$22,6,FALSE)+M131*VLOOKUP($G131,'Claude Prices'!$A$5:$G$22,7,FALSE))/1000000,0)</f>
        <v/>
      </c>
      <c r="O131" s="14">
        <f>N131*ClaudeFxRate</f>
        <v/>
      </c>
    </row>
    <row r="132">
      <c r="A132" s="26" t="n">
        <v>46129</v>
      </c>
      <c r="B132" t="inlineStr">
        <is>
          <t>ops</t>
        </is>
      </c>
      <c r="C132" t="inlineStr">
        <is>
          <t>merges, promotions &amp; deploys</t>
        </is>
      </c>
      <c r="D132" t="inlineStr"/>
      <c r="E132" t="inlineStr"/>
      <c r="F132" t="inlineStr">
        <is>
          <t>claude-haiku-4-5-20251001</t>
        </is>
      </c>
      <c r="G132" t="inlineStr">
        <is>
          <t>claude-haiku-4-5</t>
        </is>
      </c>
      <c r="H132" s="36" t="n">
        <v>1</v>
      </c>
      <c r="I132" s="36" t="n">
        <v>294</v>
      </c>
      <c r="J132" s="36" t="n">
        <v>1294</v>
      </c>
      <c r="K132" s="36" t="n">
        <v>4941</v>
      </c>
      <c r="L132" s="36" t="n">
        <v>101176</v>
      </c>
      <c r="M132" s="36" t="n">
        <v>1117</v>
      </c>
      <c r="N132" s="14">
        <f>IFERROR((I132*VLOOKUP($G132,'Claude Prices'!$A$5:$G$22,3,FALSE)+J132*VLOOKUP($G132,'Claude Prices'!$A$5:$G$22,4,FALSE)+K132*VLOOKUP($G132,'Claude Prices'!$A$5:$G$22,5,FALSE)+L132*VLOOKUP($G132,'Claude Prices'!$A$5:$G$22,6,FALSE)+M132*VLOOKUP($G132,'Claude Prices'!$A$5:$G$22,7,FALSE))/1000000,0)</f>
        <v/>
      </c>
      <c r="O132" s="14">
        <f>N132*ClaudeFxRate</f>
        <v/>
      </c>
    </row>
    <row r="133">
      <c r="A133" s="26" t="n">
        <v>46132</v>
      </c>
      <c r="B133" t="inlineStr">
        <is>
          <t>story</t>
        </is>
      </c>
      <c r="C133" t="inlineStr">
        <is>
          <t>FAL-13</t>
        </is>
      </c>
      <c r="D133" t="inlineStr">
        <is>
          <t>1.3</t>
        </is>
      </c>
      <c r="E133" t="inlineStr">
        <is>
          <t>Upload documents</t>
        </is>
      </c>
      <c r="F133" t="inlineStr">
        <is>
          <t>claude-haiku-4-5-20251001</t>
        </is>
      </c>
      <c r="G133" t="inlineStr">
        <is>
          <t>claude-haiku-4-5</t>
        </is>
      </c>
      <c r="H133" s="36" t="n">
        <v>8</v>
      </c>
      <c r="I133" s="36" t="n">
        <v>1500</v>
      </c>
      <c r="J133" s="36" t="n">
        <v>7500</v>
      </c>
      <c r="K133" s="36" t="n">
        <v>25000</v>
      </c>
      <c r="L133" s="36" t="n">
        <v>516674</v>
      </c>
      <c r="M133" s="36" t="n">
        <v>5837</v>
      </c>
      <c r="N133" s="14">
        <f>IFERROR((I133*VLOOKUP($G133,'Claude Prices'!$A$5:$G$22,3,FALSE)+J133*VLOOKUP($G133,'Claude Prices'!$A$5:$G$22,4,FALSE)+K133*VLOOKUP($G133,'Claude Prices'!$A$5:$G$22,5,FALSE)+L133*VLOOKUP($G133,'Claude Prices'!$A$5:$G$22,6,FALSE)+M133*VLOOKUP($G133,'Claude Prices'!$A$5:$G$22,7,FALSE))/1000000,0)</f>
        <v/>
      </c>
      <c r="O133" s="14">
        <f>N133*ClaudeFxRate</f>
        <v/>
      </c>
    </row>
    <row r="134">
      <c r="A134" s="26" t="n">
        <v>46132</v>
      </c>
      <c r="B134" t="inlineStr">
        <is>
          <t>story</t>
        </is>
      </c>
      <c r="C134" t="inlineStr">
        <is>
          <t>FAL-13</t>
        </is>
      </c>
      <c r="D134" t="inlineStr">
        <is>
          <t>1.3</t>
        </is>
      </c>
      <c r="E134" t="inlineStr">
        <is>
          <t>Upload documents</t>
        </is>
      </c>
      <c r="F134" t="inlineStr">
        <is>
          <t>claude-sonnet-5</t>
        </is>
      </c>
      <c r="G134" t="inlineStr">
        <is>
          <t>claude-sonnet-5</t>
        </is>
      </c>
      <c r="H134" s="36" t="n">
        <v>28</v>
      </c>
      <c r="I134" s="36" t="n">
        <v>3837</v>
      </c>
      <c r="J134" s="36" t="n">
        <v>50000</v>
      </c>
      <c r="K134" s="36" t="n">
        <v>208337</v>
      </c>
      <c r="L134" s="36" t="n">
        <v>3341674</v>
      </c>
      <c r="M134" s="36" t="n">
        <v>50837</v>
      </c>
      <c r="N134" s="14">
        <f>IFERROR((I134*VLOOKUP($G134,'Claude Prices'!$A$5:$G$22,3,FALSE)+J134*VLOOKUP($G134,'Claude Prices'!$A$5:$G$22,4,FALSE)+K134*VLOOKUP($G134,'Claude Prices'!$A$5:$G$22,5,FALSE)+L134*VLOOKUP($G134,'Claude Prices'!$A$5:$G$22,6,FALSE)+M134*VLOOKUP($G134,'Claude Prices'!$A$5:$G$22,7,FALSE))/1000000,0)</f>
        <v/>
      </c>
      <c r="O134" s="14">
        <f>N134*ClaudeFxRate</f>
        <v/>
      </c>
    </row>
    <row r="135">
      <c r="A135" s="26" t="n">
        <v>46132</v>
      </c>
      <c r="B135" t="inlineStr">
        <is>
          <t>ops</t>
        </is>
      </c>
      <c r="C135" t="inlineStr">
        <is>
          <t>merges, promotions &amp; deploys</t>
        </is>
      </c>
      <c r="D135" t="inlineStr"/>
      <c r="E135" t="inlineStr"/>
      <c r="F135" t="inlineStr">
        <is>
          <t>claude-haiku-4-5-20251001</t>
        </is>
      </c>
      <c r="G135" t="inlineStr">
        <is>
          <t>claude-haiku-4-5</t>
        </is>
      </c>
      <c r="H135" s="36" t="n">
        <v>1</v>
      </c>
      <c r="I135" s="36" t="n">
        <v>294</v>
      </c>
      <c r="J135" s="36" t="n">
        <v>1294</v>
      </c>
      <c r="K135" s="36" t="n">
        <v>4941</v>
      </c>
      <c r="L135" s="36" t="n">
        <v>101176</v>
      </c>
      <c r="M135" s="36" t="n">
        <v>1117</v>
      </c>
      <c r="N135" s="14">
        <f>IFERROR((I135*VLOOKUP($G135,'Claude Prices'!$A$5:$G$22,3,FALSE)+J135*VLOOKUP($G135,'Claude Prices'!$A$5:$G$22,4,FALSE)+K135*VLOOKUP($G135,'Claude Prices'!$A$5:$G$22,5,FALSE)+L135*VLOOKUP($G135,'Claude Prices'!$A$5:$G$22,6,FALSE)+M135*VLOOKUP($G135,'Claude Prices'!$A$5:$G$22,7,FALSE))/1000000,0)</f>
        <v/>
      </c>
      <c r="O135" s="14">
        <f>N135*ClaudeFxRate</f>
        <v/>
      </c>
    </row>
    <row r="136">
      <c r="A136" s="26" t="n">
        <v>46133</v>
      </c>
      <c r="B136" t="inlineStr">
        <is>
          <t>story</t>
        </is>
      </c>
      <c r="C136" t="inlineStr">
        <is>
          <t>FAL-21</t>
        </is>
      </c>
      <c r="D136" t="inlineStr">
        <is>
          <t>2.1</t>
        </is>
      </c>
      <c r="E136" t="inlineStr">
        <is>
          <t>Review queue</t>
        </is>
      </c>
      <c r="F136" t="inlineStr">
        <is>
          <t>claude-sonnet-5</t>
        </is>
      </c>
      <c r="G136" t="inlineStr">
        <is>
          <t>claude-sonnet-5</t>
        </is>
      </c>
      <c r="H136" s="36" t="n">
        <v>18</v>
      </c>
      <c r="I136" s="36" t="n">
        <v>3375</v>
      </c>
      <c r="J136" s="36" t="n">
        <v>43125</v>
      </c>
      <c r="K136" s="36" t="n">
        <v>181250</v>
      </c>
      <c r="L136" s="36" t="n">
        <v>2893750</v>
      </c>
      <c r="M136" s="36" t="n">
        <v>44375</v>
      </c>
      <c r="N136" s="14">
        <f>IFERROR((I136*VLOOKUP($G136,'Claude Prices'!$A$5:$G$22,3,FALSE)+J136*VLOOKUP($G136,'Claude Prices'!$A$5:$G$22,4,FALSE)+K136*VLOOKUP($G136,'Claude Prices'!$A$5:$G$22,5,FALSE)+L136*VLOOKUP($G136,'Claude Prices'!$A$5:$G$22,6,FALSE)+M136*VLOOKUP($G136,'Claude Prices'!$A$5:$G$22,7,FALSE))/1000000,0)</f>
        <v/>
      </c>
      <c r="O136" s="14">
        <f>N136*ClaudeFxRate</f>
        <v/>
      </c>
    </row>
    <row r="137">
      <c r="A137" s="26" t="n">
        <v>46133</v>
      </c>
      <c r="B137" t="inlineStr">
        <is>
          <t>ops</t>
        </is>
      </c>
      <c r="C137" t="inlineStr">
        <is>
          <t>merges, promotions &amp; deploys</t>
        </is>
      </c>
      <c r="D137" t="inlineStr"/>
      <c r="E137" t="inlineStr"/>
      <c r="F137" t="inlineStr">
        <is>
          <t>claude-haiku-4-5-20251001</t>
        </is>
      </c>
      <c r="G137" t="inlineStr">
        <is>
          <t>claude-haiku-4-5</t>
        </is>
      </c>
      <c r="H137" s="36" t="n">
        <v>1</v>
      </c>
      <c r="I137" s="36" t="n">
        <v>294</v>
      </c>
      <c r="J137" s="36" t="n">
        <v>1294</v>
      </c>
      <c r="K137" s="36" t="n">
        <v>4941</v>
      </c>
      <c r="L137" s="36" t="n">
        <v>101176</v>
      </c>
      <c r="M137" s="36" t="n">
        <v>1117</v>
      </c>
      <c r="N137" s="14">
        <f>IFERROR((I137*VLOOKUP($G137,'Claude Prices'!$A$5:$G$22,3,FALSE)+J137*VLOOKUP($G137,'Claude Prices'!$A$5:$G$22,4,FALSE)+K137*VLOOKUP($G137,'Claude Prices'!$A$5:$G$22,5,FALSE)+L137*VLOOKUP($G137,'Claude Prices'!$A$5:$G$22,6,FALSE)+M137*VLOOKUP($G137,'Claude Prices'!$A$5:$G$22,7,FALSE))/1000000,0)</f>
        <v/>
      </c>
      <c r="O137" s="14">
        <f>N137*ClaudeFxRate</f>
        <v/>
      </c>
    </row>
    <row r="138">
      <c r="A138" s="26" t="n">
        <v>46134</v>
      </c>
      <c r="B138" t="inlineStr">
        <is>
          <t>story</t>
        </is>
      </c>
      <c r="C138" t="inlineStr">
        <is>
          <t>FAL-21</t>
        </is>
      </c>
      <c r="D138" t="inlineStr">
        <is>
          <t>2.1</t>
        </is>
      </c>
      <c r="E138" t="inlineStr">
        <is>
          <t>Review queue</t>
        </is>
      </c>
      <c r="F138" t="inlineStr">
        <is>
          <t>claude-sonnet-5</t>
        </is>
      </c>
      <c r="G138" t="inlineStr">
        <is>
          <t>claude-sonnet-5</t>
        </is>
      </c>
      <c r="H138" s="36" t="n">
        <v>18</v>
      </c>
      <c r="I138" s="36" t="n">
        <v>3375</v>
      </c>
      <c r="J138" s="36" t="n">
        <v>43125</v>
      </c>
      <c r="K138" s="36" t="n">
        <v>181250</v>
      </c>
      <c r="L138" s="36" t="n">
        <v>2893750</v>
      </c>
      <c r="M138" s="36" t="n">
        <v>44375</v>
      </c>
      <c r="N138" s="14">
        <f>IFERROR((I138*VLOOKUP($G138,'Claude Prices'!$A$5:$G$22,3,FALSE)+J138*VLOOKUP($G138,'Claude Prices'!$A$5:$G$22,4,FALSE)+K138*VLOOKUP($G138,'Claude Prices'!$A$5:$G$22,5,FALSE)+L138*VLOOKUP($G138,'Claude Prices'!$A$5:$G$22,6,FALSE)+M138*VLOOKUP($G138,'Claude Prices'!$A$5:$G$22,7,FALSE))/1000000,0)</f>
        <v/>
      </c>
      <c r="O138" s="14">
        <f>N138*ClaudeFxRate</f>
        <v/>
      </c>
    </row>
    <row r="139">
      <c r="A139" s="26" t="n">
        <v>46134</v>
      </c>
      <c r="B139" t="inlineStr">
        <is>
          <t>ops</t>
        </is>
      </c>
      <c r="C139" t="inlineStr">
        <is>
          <t>merges, promotions &amp; deploys</t>
        </is>
      </c>
      <c r="D139" t="inlineStr"/>
      <c r="E139" t="inlineStr"/>
      <c r="F139" t="inlineStr">
        <is>
          <t>claude-haiku-4-5-20251001</t>
        </is>
      </c>
      <c r="G139" t="inlineStr">
        <is>
          <t>claude-haiku-4-5</t>
        </is>
      </c>
      <c r="H139" s="36" t="n">
        <v>1</v>
      </c>
      <c r="I139" s="36" t="n">
        <v>294</v>
      </c>
      <c r="J139" s="36" t="n">
        <v>1294</v>
      </c>
      <c r="K139" s="36" t="n">
        <v>4941</v>
      </c>
      <c r="L139" s="36" t="n">
        <v>101176</v>
      </c>
      <c r="M139" s="36" t="n">
        <v>1117</v>
      </c>
      <c r="N139" s="14">
        <f>IFERROR((I139*VLOOKUP($G139,'Claude Prices'!$A$5:$G$22,3,FALSE)+J139*VLOOKUP($G139,'Claude Prices'!$A$5:$G$22,4,FALSE)+K139*VLOOKUP($G139,'Claude Prices'!$A$5:$G$22,5,FALSE)+L139*VLOOKUP($G139,'Claude Prices'!$A$5:$G$22,6,FALSE)+M139*VLOOKUP($G139,'Claude Prices'!$A$5:$G$22,7,FALSE))/1000000,0)</f>
        <v/>
      </c>
      <c r="O139" s="14">
        <f>N139*ClaudeFxRate</f>
        <v/>
      </c>
    </row>
    <row r="140">
      <c r="A140" s="26" t="n">
        <v>46135</v>
      </c>
      <c r="B140" t="inlineStr">
        <is>
          <t>story</t>
        </is>
      </c>
      <c r="C140" t="inlineStr">
        <is>
          <t>FAL-21</t>
        </is>
      </c>
      <c r="D140" t="inlineStr">
        <is>
          <t>2.1</t>
        </is>
      </c>
      <c r="E140" t="inlineStr">
        <is>
          <t>Review queue</t>
        </is>
      </c>
      <c r="F140" t="inlineStr">
        <is>
          <t>claude-sonnet-5</t>
        </is>
      </c>
      <c r="G140" t="inlineStr">
        <is>
          <t>claude-sonnet-5</t>
        </is>
      </c>
      <c r="H140" s="36" t="n">
        <v>18</v>
      </c>
      <c r="I140" s="36" t="n">
        <v>3375</v>
      </c>
      <c r="J140" s="36" t="n">
        <v>43125</v>
      </c>
      <c r="K140" s="36" t="n">
        <v>181250</v>
      </c>
      <c r="L140" s="36" t="n">
        <v>2893750</v>
      </c>
      <c r="M140" s="36" t="n">
        <v>44375</v>
      </c>
      <c r="N140" s="14">
        <f>IFERROR((I140*VLOOKUP($G140,'Claude Prices'!$A$5:$G$22,3,FALSE)+J140*VLOOKUP($G140,'Claude Prices'!$A$5:$G$22,4,FALSE)+K140*VLOOKUP($G140,'Claude Prices'!$A$5:$G$22,5,FALSE)+L140*VLOOKUP($G140,'Claude Prices'!$A$5:$G$22,6,FALSE)+M140*VLOOKUP($G140,'Claude Prices'!$A$5:$G$22,7,FALSE))/1000000,0)</f>
        <v/>
      </c>
      <c r="O140" s="14">
        <f>N140*ClaudeFxRate</f>
        <v/>
      </c>
    </row>
    <row r="141">
      <c r="A141" s="26" t="n">
        <v>46135</v>
      </c>
      <c r="B141" t="inlineStr">
        <is>
          <t>ops</t>
        </is>
      </c>
      <c r="C141" t="inlineStr">
        <is>
          <t>merges, promotions &amp; deploys</t>
        </is>
      </c>
      <c r="D141" t="inlineStr"/>
      <c r="E141" t="inlineStr"/>
      <c r="F141" t="inlineStr">
        <is>
          <t>claude-haiku-4-5-20251001</t>
        </is>
      </c>
      <c r="G141" t="inlineStr">
        <is>
          <t>claude-haiku-4-5</t>
        </is>
      </c>
      <c r="H141" s="36" t="n">
        <v>1</v>
      </c>
      <c r="I141" s="36" t="n">
        <v>294</v>
      </c>
      <c r="J141" s="36" t="n">
        <v>1294</v>
      </c>
      <c r="K141" s="36" t="n">
        <v>4941</v>
      </c>
      <c r="L141" s="36" t="n">
        <v>101176</v>
      </c>
      <c r="M141" s="36" t="n">
        <v>1117</v>
      </c>
      <c r="N141" s="14">
        <f>IFERROR((I141*VLOOKUP($G141,'Claude Prices'!$A$5:$G$22,3,FALSE)+J141*VLOOKUP($G141,'Claude Prices'!$A$5:$G$22,4,FALSE)+K141*VLOOKUP($G141,'Claude Prices'!$A$5:$G$22,5,FALSE)+L141*VLOOKUP($G141,'Claude Prices'!$A$5:$G$22,6,FALSE)+M141*VLOOKUP($G141,'Claude Prices'!$A$5:$G$22,7,FALSE))/1000000,0)</f>
        <v/>
      </c>
      <c r="O141" s="14">
        <f>N141*ClaudeFxRate</f>
        <v/>
      </c>
    </row>
    <row r="142">
      <c r="A142" s="26" t="n">
        <v>46136</v>
      </c>
      <c r="B142" t="inlineStr">
        <is>
          <t>story</t>
        </is>
      </c>
      <c r="C142" t="inlineStr">
        <is>
          <t>FAL-21</t>
        </is>
      </c>
      <c r="D142" t="inlineStr">
        <is>
          <t>2.1</t>
        </is>
      </c>
      <c r="E142" t="inlineStr">
        <is>
          <t>Review queue</t>
        </is>
      </c>
      <c r="F142" t="inlineStr">
        <is>
          <t>claude-sonnet-5</t>
        </is>
      </c>
      <c r="G142" t="inlineStr">
        <is>
          <t>claude-sonnet-5</t>
        </is>
      </c>
      <c r="H142" s="36" t="n">
        <v>18</v>
      </c>
      <c r="I142" s="36" t="n">
        <v>3375</v>
      </c>
      <c r="J142" s="36" t="n">
        <v>43125</v>
      </c>
      <c r="K142" s="36" t="n">
        <v>181250</v>
      </c>
      <c r="L142" s="36" t="n">
        <v>2893750</v>
      </c>
      <c r="M142" s="36" t="n">
        <v>44375</v>
      </c>
      <c r="N142" s="14">
        <f>IFERROR((I142*VLOOKUP($G142,'Claude Prices'!$A$5:$G$22,3,FALSE)+J142*VLOOKUP($G142,'Claude Prices'!$A$5:$G$22,4,FALSE)+K142*VLOOKUP($G142,'Claude Prices'!$A$5:$G$22,5,FALSE)+L142*VLOOKUP($G142,'Claude Prices'!$A$5:$G$22,6,FALSE)+M142*VLOOKUP($G142,'Claude Prices'!$A$5:$G$22,7,FALSE))/1000000,0)</f>
        <v/>
      </c>
      <c r="O142" s="14">
        <f>N142*ClaudeFxRate</f>
        <v/>
      </c>
    </row>
    <row r="143">
      <c r="A143" s="26" t="n">
        <v>46136</v>
      </c>
      <c r="B143" t="inlineStr">
        <is>
          <t>ops</t>
        </is>
      </c>
      <c r="C143" t="inlineStr">
        <is>
          <t>merges, promotions &amp; deploys</t>
        </is>
      </c>
      <c r="D143" t="inlineStr"/>
      <c r="E143" t="inlineStr"/>
      <c r="F143" t="inlineStr">
        <is>
          <t>claude-haiku-4-5-20251001</t>
        </is>
      </c>
      <c r="G143" t="inlineStr">
        <is>
          <t>claude-haiku-4-5</t>
        </is>
      </c>
      <c r="H143" s="36" t="n">
        <v>1</v>
      </c>
      <c r="I143" s="36" t="n">
        <v>294</v>
      </c>
      <c r="J143" s="36" t="n">
        <v>1294</v>
      </c>
      <c r="K143" s="36" t="n">
        <v>4941</v>
      </c>
      <c r="L143" s="36" t="n">
        <v>101176</v>
      </c>
      <c r="M143" s="36" t="n">
        <v>1117</v>
      </c>
      <c r="N143" s="14">
        <f>IFERROR((I143*VLOOKUP($G143,'Claude Prices'!$A$5:$G$22,3,FALSE)+J143*VLOOKUP($G143,'Claude Prices'!$A$5:$G$22,4,FALSE)+K143*VLOOKUP($G143,'Claude Prices'!$A$5:$G$22,5,FALSE)+L143*VLOOKUP($G143,'Claude Prices'!$A$5:$G$22,6,FALSE)+M143*VLOOKUP($G143,'Claude Prices'!$A$5:$G$22,7,FALSE))/1000000,0)</f>
        <v/>
      </c>
      <c r="O143" s="14">
        <f>N143*ClaudeFxRate</f>
        <v/>
      </c>
    </row>
    <row r="144">
      <c r="A144" s="26" t="n">
        <v>46139</v>
      </c>
      <c r="B144" t="inlineStr">
        <is>
          <t>story</t>
        </is>
      </c>
      <c r="C144" t="inlineStr">
        <is>
          <t>FAL-21</t>
        </is>
      </c>
      <c r="D144" t="inlineStr">
        <is>
          <t>2.1</t>
        </is>
      </c>
      <c r="E144" t="inlineStr">
        <is>
          <t>Review queue</t>
        </is>
      </c>
      <c r="F144" t="inlineStr">
        <is>
          <t>claude-sonnet-5</t>
        </is>
      </c>
      <c r="G144" t="inlineStr">
        <is>
          <t>claude-sonnet-5</t>
        </is>
      </c>
      <c r="H144" s="36" t="n">
        <v>18</v>
      </c>
      <c r="I144" s="36" t="n">
        <v>3375</v>
      </c>
      <c r="J144" s="36" t="n">
        <v>43125</v>
      </c>
      <c r="K144" s="36" t="n">
        <v>181250</v>
      </c>
      <c r="L144" s="36" t="n">
        <v>2893750</v>
      </c>
      <c r="M144" s="36" t="n">
        <v>44375</v>
      </c>
      <c r="N144" s="14">
        <f>IFERROR((I144*VLOOKUP($G144,'Claude Prices'!$A$5:$G$22,3,FALSE)+J144*VLOOKUP($G144,'Claude Prices'!$A$5:$G$22,4,FALSE)+K144*VLOOKUP($G144,'Claude Prices'!$A$5:$G$22,5,FALSE)+L144*VLOOKUP($G144,'Claude Prices'!$A$5:$G$22,6,FALSE)+M144*VLOOKUP($G144,'Claude Prices'!$A$5:$G$22,7,FALSE))/1000000,0)</f>
        <v/>
      </c>
      <c r="O144" s="14">
        <f>N144*ClaudeFxRate</f>
        <v/>
      </c>
    </row>
    <row r="145">
      <c r="A145" s="26" t="n">
        <v>46139</v>
      </c>
      <c r="B145" t="inlineStr">
        <is>
          <t>ops</t>
        </is>
      </c>
      <c r="C145" t="inlineStr">
        <is>
          <t>merges, promotions &amp; deploys</t>
        </is>
      </c>
      <c r="D145" t="inlineStr"/>
      <c r="E145" t="inlineStr"/>
      <c r="F145" t="inlineStr">
        <is>
          <t>claude-haiku-4-5-20251001</t>
        </is>
      </c>
      <c r="G145" t="inlineStr">
        <is>
          <t>claude-haiku-4-5</t>
        </is>
      </c>
      <c r="H145" s="36" t="n">
        <v>1</v>
      </c>
      <c r="I145" s="36" t="n">
        <v>294</v>
      </c>
      <c r="J145" s="36" t="n">
        <v>1294</v>
      </c>
      <c r="K145" s="36" t="n">
        <v>4941</v>
      </c>
      <c r="L145" s="36" t="n">
        <v>101176</v>
      </c>
      <c r="M145" s="36" t="n">
        <v>1117</v>
      </c>
      <c r="N145" s="14">
        <f>IFERROR((I145*VLOOKUP($G145,'Claude Prices'!$A$5:$G$22,3,FALSE)+J145*VLOOKUP($G145,'Claude Prices'!$A$5:$G$22,4,FALSE)+K145*VLOOKUP($G145,'Claude Prices'!$A$5:$G$22,5,FALSE)+L145*VLOOKUP($G145,'Claude Prices'!$A$5:$G$22,6,FALSE)+M145*VLOOKUP($G145,'Claude Prices'!$A$5:$G$22,7,FALSE))/1000000,0)</f>
        <v/>
      </c>
      <c r="O145" s="14">
        <f>N145*ClaudeFxRate</f>
        <v/>
      </c>
    </row>
    <row r="146">
      <c r="A146" s="26" t="n">
        <v>46140</v>
      </c>
      <c r="B146" t="inlineStr">
        <is>
          <t>story</t>
        </is>
      </c>
      <c r="C146" t="inlineStr">
        <is>
          <t>FAL-21</t>
        </is>
      </c>
      <c r="D146" t="inlineStr">
        <is>
          <t>2.1</t>
        </is>
      </c>
      <c r="E146" t="inlineStr">
        <is>
          <t>Review queue</t>
        </is>
      </c>
      <c r="F146" t="inlineStr">
        <is>
          <t>claude-sonnet-5</t>
        </is>
      </c>
      <c r="G146" t="inlineStr">
        <is>
          <t>claude-sonnet-5</t>
        </is>
      </c>
      <c r="H146" s="36" t="n">
        <v>18</v>
      </c>
      <c r="I146" s="36" t="n">
        <v>3375</v>
      </c>
      <c r="J146" s="36" t="n">
        <v>43125</v>
      </c>
      <c r="K146" s="36" t="n">
        <v>181250</v>
      </c>
      <c r="L146" s="36" t="n">
        <v>2893750</v>
      </c>
      <c r="M146" s="36" t="n">
        <v>44375</v>
      </c>
      <c r="N146" s="14">
        <f>IFERROR((I146*VLOOKUP($G146,'Claude Prices'!$A$5:$G$22,3,FALSE)+J146*VLOOKUP($G146,'Claude Prices'!$A$5:$G$22,4,FALSE)+K146*VLOOKUP($G146,'Claude Prices'!$A$5:$G$22,5,FALSE)+L146*VLOOKUP($G146,'Claude Prices'!$A$5:$G$22,6,FALSE)+M146*VLOOKUP($G146,'Claude Prices'!$A$5:$G$22,7,FALSE))/1000000,0)</f>
        <v/>
      </c>
      <c r="O146" s="14">
        <f>N146*ClaudeFxRate</f>
        <v/>
      </c>
    </row>
    <row r="147">
      <c r="A147" s="26" t="n">
        <v>46140</v>
      </c>
      <c r="B147" t="inlineStr">
        <is>
          <t>ops</t>
        </is>
      </c>
      <c r="C147" t="inlineStr">
        <is>
          <t>merges, promotions &amp; deploys</t>
        </is>
      </c>
      <c r="D147" t="inlineStr"/>
      <c r="E147" t="inlineStr"/>
      <c r="F147" t="inlineStr">
        <is>
          <t>claude-haiku-4-5-20251001</t>
        </is>
      </c>
      <c r="G147" t="inlineStr">
        <is>
          <t>claude-haiku-4-5</t>
        </is>
      </c>
      <c r="H147" s="36" t="n">
        <v>1</v>
      </c>
      <c r="I147" s="36" t="n">
        <v>294</v>
      </c>
      <c r="J147" s="36" t="n">
        <v>1294</v>
      </c>
      <c r="K147" s="36" t="n">
        <v>4941</v>
      </c>
      <c r="L147" s="36" t="n">
        <v>101176</v>
      </c>
      <c r="M147" s="36" t="n">
        <v>1117</v>
      </c>
      <c r="N147" s="14">
        <f>IFERROR((I147*VLOOKUP($G147,'Claude Prices'!$A$5:$G$22,3,FALSE)+J147*VLOOKUP($G147,'Claude Prices'!$A$5:$G$22,4,FALSE)+K147*VLOOKUP($G147,'Claude Prices'!$A$5:$G$22,5,FALSE)+L147*VLOOKUP($G147,'Claude Prices'!$A$5:$G$22,6,FALSE)+M147*VLOOKUP($G147,'Claude Prices'!$A$5:$G$22,7,FALSE))/1000000,0)</f>
        <v/>
      </c>
      <c r="O147" s="14">
        <f>N147*ClaudeFxRate</f>
        <v/>
      </c>
    </row>
    <row r="148">
      <c r="A148" s="26" t="n">
        <v>46141</v>
      </c>
      <c r="B148" t="inlineStr">
        <is>
          <t>story</t>
        </is>
      </c>
      <c r="C148" t="inlineStr">
        <is>
          <t>FAL-21</t>
        </is>
      </c>
      <c r="D148" t="inlineStr">
        <is>
          <t>2.1</t>
        </is>
      </c>
      <c r="E148" t="inlineStr">
        <is>
          <t>Review queue</t>
        </is>
      </c>
      <c r="F148" t="inlineStr">
        <is>
          <t>claude-sonnet-5</t>
        </is>
      </c>
      <c r="G148" t="inlineStr">
        <is>
          <t>claude-sonnet-5</t>
        </is>
      </c>
      <c r="H148" s="36" t="n">
        <v>18</v>
      </c>
      <c r="I148" s="36" t="n">
        <v>3375</v>
      </c>
      <c r="J148" s="36" t="n">
        <v>43125</v>
      </c>
      <c r="K148" s="36" t="n">
        <v>181250</v>
      </c>
      <c r="L148" s="36" t="n">
        <v>2893750</v>
      </c>
      <c r="M148" s="36" t="n">
        <v>44375</v>
      </c>
      <c r="N148" s="14">
        <f>IFERROR((I148*VLOOKUP($G148,'Claude Prices'!$A$5:$G$22,3,FALSE)+J148*VLOOKUP($G148,'Claude Prices'!$A$5:$G$22,4,FALSE)+K148*VLOOKUP($G148,'Claude Prices'!$A$5:$G$22,5,FALSE)+L148*VLOOKUP($G148,'Claude Prices'!$A$5:$G$22,6,FALSE)+M148*VLOOKUP($G148,'Claude Prices'!$A$5:$G$22,7,FALSE))/1000000,0)</f>
        <v/>
      </c>
      <c r="O148" s="14">
        <f>N148*ClaudeFxRate</f>
        <v/>
      </c>
    </row>
    <row r="149">
      <c r="A149" s="26" t="n">
        <v>46141</v>
      </c>
      <c r="B149" t="inlineStr">
        <is>
          <t>ops</t>
        </is>
      </c>
      <c r="C149" t="inlineStr">
        <is>
          <t>merges, promotions &amp; deploys</t>
        </is>
      </c>
      <c r="D149" t="inlineStr"/>
      <c r="E149" t="inlineStr"/>
      <c r="F149" t="inlineStr">
        <is>
          <t>claude-haiku-4-5-20251001</t>
        </is>
      </c>
      <c r="G149" t="inlineStr">
        <is>
          <t>claude-haiku-4-5</t>
        </is>
      </c>
      <c r="H149" s="36" t="n">
        <v>1</v>
      </c>
      <c r="I149" s="36" t="n">
        <v>294</v>
      </c>
      <c r="J149" s="36" t="n">
        <v>1294</v>
      </c>
      <c r="K149" s="36" t="n">
        <v>4941</v>
      </c>
      <c r="L149" s="36" t="n">
        <v>101176</v>
      </c>
      <c r="M149" s="36" t="n">
        <v>1117</v>
      </c>
      <c r="N149" s="14">
        <f>IFERROR((I149*VLOOKUP($G149,'Claude Prices'!$A$5:$G$22,3,FALSE)+J149*VLOOKUP($G149,'Claude Prices'!$A$5:$G$22,4,FALSE)+K149*VLOOKUP($G149,'Claude Prices'!$A$5:$G$22,5,FALSE)+L149*VLOOKUP($G149,'Claude Prices'!$A$5:$G$22,6,FALSE)+M149*VLOOKUP($G149,'Claude Prices'!$A$5:$G$22,7,FALSE))/1000000,0)</f>
        <v/>
      </c>
      <c r="O149" s="14">
        <f>N149*ClaudeFxRate</f>
        <v/>
      </c>
    </row>
    <row r="150">
      <c r="A150" s="26" t="n">
        <v>46142</v>
      </c>
      <c r="B150" t="inlineStr">
        <is>
          <t>story</t>
        </is>
      </c>
      <c r="C150" t="inlineStr">
        <is>
          <t>FAL-21</t>
        </is>
      </c>
      <c r="D150" t="inlineStr">
        <is>
          <t>2.1</t>
        </is>
      </c>
      <c r="E150" t="inlineStr">
        <is>
          <t>Review queue</t>
        </is>
      </c>
      <c r="F150" t="inlineStr">
        <is>
          <t>claude-sonnet-5</t>
        </is>
      </c>
      <c r="G150" t="inlineStr">
        <is>
          <t>claude-sonnet-5</t>
        </is>
      </c>
      <c r="H150" s="36" t="n">
        <v>18</v>
      </c>
      <c r="I150" s="36" t="n">
        <v>3375</v>
      </c>
      <c r="J150" s="36" t="n">
        <v>43125</v>
      </c>
      <c r="K150" s="36" t="n">
        <v>181250</v>
      </c>
      <c r="L150" s="36" t="n">
        <v>2893750</v>
      </c>
      <c r="M150" s="36" t="n">
        <v>44375</v>
      </c>
      <c r="N150" s="14">
        <f>IFERROR((I150*VLOOKUP($G150,'Claude Prices'!$A$5:$G$22,3,FALSE)+J150*VLOOKUP($G150,'Claude Prices'!$A$5:$G$22,4,FALSE)+K150*VLOOKUP($G150,'Claude Prices'!$A$5:$G$22,5,FALSE)+L150*VLOOKUP($G150,'Claude Prices'!$A$5:$G$22,6,FALSE)+M150*VLOOKUP($G150,'Claude Prices'!$A$5:$G$22,7,FALSE))/1000000,0)</f>
        <v/>
      </c>
      <c r="O150" s="14">
        <f>N150*ClaudeFxRate</f>
        <v/>
      </c>
    </row>
    <row r="151">
      <c r="A151" s="26" t="n">
        <v>46142</v>
      </c>
      <c r="B151" t="inlineStr">
        <is>
          <t>ops</t>
        </is>
      </c>
      <c r="C151" t="inlineStr">
        <is>
          <t>merges, promotions &amp; deploys</t>
        </is>
      </c>
      <c r="D151" t="inlineStr"/>
      <c r="E151" t="inlineStr"/>
      <c r="F151" t="inlineStr">
        <is>
          <t>claude-haiku-4-5-20251001</t>
        </is>
      </c>
      <c r="G151" t="inlineStr">
        <is>
          <t>claude-haiku-4-5</t>
        </is>
      </c>
      <c r="H151" s="36" t="n">
        <v>1</v>
      </c>
      <c r="I151" s="36" t="n">
        <v>294</v>
      </c>
      <c r="J151" s="36" t="n">
        <v>1294</v>
      </c>
      <c r="K151" s="36" t="n">
        <v>4941</v>
      </c>
      <c r="L151" s="36" t="n">
        <v>101176</v>
      </c>
      <c r="M151" s="36" t="n">
        <v>1117</v>
      </c>
      <c r="N151" s="14">
        <f>IFERROR((I151*VLOOKUP($G151,'Claude Prices'!$A$5:$G$22,3,FALSE)+J151*VLOOKUP($G151,'Claude Prices'!$A$5:$G$22,4,FALSE)+K151*VLOOKUP($G151,'Claude Prices'!$A$5:$G$22,5,FALSE)+L151*VLOOKUP($G151,'Claude Prices'!$A$5:$G$22,6,FALSE)+M151*VLOOKUP($G151,'Claude Prices'!$A$5:$G$22,7,FALSE))/1000000,0)</f>
        <v/>
      </c>
      <c r="O151" s="14">
        <f>N151*ClaudeFxRate</f>
        <v/>
      </c>
    </row>
    <row r="152">
      <c r="A152" s="26" t="n">
        <v>46143</v>
      </c>
      <c r="B152" t="inlineStr">
        <is>
          <t>story</t>
        </is>
      </c>
      <c r="C152" t="inlineStr">
        <is>
          <t>FAL-21</t>
        </is>
      </c>
      <c r="D152" t="inlineStr">
        <is>
          <t>2.1</t>
        </is>
      </c>
      <c r="E152" t="inlineStr">
        <is>
          <t>Review queue</t>
        </is>
      </c>
      <c r="F152" t="inlineStr">
        <is>
          <t>claude-sonnet-5</t>
        </is>
      </c>
      <c r="G152" t="inlineStr">
        <is>
          <t>claude-sonnet-5</t>
        </is>
      </c>
      <c r="H152" s="36" t="n">
        <v>18</v>
      </c>
      <c r="I152" s="36" t="n">
        <v>3375</v>
      </c>
      <c r="J152" s="36" t="n">
        <v>43125</v>
      </c>
      <c r="K152" s="36" t="n">
        <v>181250</v>
      </c>
      <c r="L152" s="36" t="n">
        <v>2893750</v>
      </c>
      <c r="M152" s="36" t="n">
        <v>44375</v>
      </c>
      <c r="N152" s="14">
        <f>IFERROR((I152*VLOOKUP($G152,'Claude Prices'!$A$5:$G$22,3,FALSE)+J152*VLOOKUP($G152,'Claude Prices'!$A$5:$G$22,4,FALSE)+K152*VLOOKUP($G152,'Claude Prices'!$A$5:$G$22,5,FALSE)+L152*VLOOKUP($G152,'Claude Prices'!$A$5:$G$22,6,FALSE)+M152*VLOOKUP($G152,'Claude Prices'!$A$5:$G$22,7,FALSE))/1000000,0)</f>
        <v/>
      </c>
      <c r="O152" s="14">
        <f>N152*ClaudeFxRate</f>
        <v/>
      </c>
    </row>
    <row r="153">
      <c r="A153" s="26" t="n">
        <v>46143</v>
      </c>
      <c r="B153" t="inlineStr">
        <is>
          <t>ops</t>
        </is>
      </c>
      <c r="C153" t="inlineStr">
        <is>
          <t>merges, promotions &amp; deploys</t>
        </is>
      </c>
      <c r="D153" t="inlineStr"/>
      <c r="E153" t="inlineStr"/>
      <c r="F153" t="inlineStr">
        <is>
          <t>claude-haiku-4-5-20251001</t>
        </is>
      </c>
      <c r="G153" t="inlineStr">
        <is>
          <t>claude-haiku-4-5</t>
        </is>
      </c>
      <c r="H153" s="36" t="n">
        <v>1</v>
      </c>
      <c r="I153" s="36" t="n">
        <v>294</v>
      </c>
      <c r="J153" s="36" t="n">
        <v>1294</v>
      </c>
      <c r="K153" s="36" t="n">
        <v>4941</v>
      </c>
      <c r="L153" s="36" t="n">
        <v>101176</v>
      </c>
      <c r="M153" s="36" t="n">
        <v>1117</v>
      </c>
      <c r="N153" s="14">
        <f>IFERROR((I153*VLOOKUP($G153,'Claude Prices'!$A$5:$G$22,3,FALSE)+J153*VLOOKUP($G153,'Claude Prices'!$A$5:$G$22,4,FALSE)+K153*VLOOKUP($G153,'Claude Prices'!$A$5:$G$22,5,FALSE)+L153*VLOOKUP($G153,'Claude Prices'!$A$5:$G$22,6,FALSE)+M153*VLOOKUP($G153,'Claude Prices'!$A$5:$G$22,7,FALSE))/1000000,0)</f>
        <v/>
      </c>
      <c r="O153" s="14">
        <f>N153*ClaudeFxRate</f>
        <v/>
      </c>
    </row>
    <row r="154">
      <c r="A154" s="26" t="n">
        <v>46146</v>
      </c>
      <c r="B154" t="inlineStr">
        <is>
          <t>story</t>
        </is>
      </c>
      <c r="C154" t="inlineStr">
        <is>
          <t>FAL-21</t>
        </is>
      </c>
      <c r="D154" t="inlineStr">
        <is>
          <t>2.1</t>
        </is>
      </c>
      <c r="E154" t="inlineStr">
        <is>
          <t>Review queue</t>
        </is>
      </c>
      <c r="F154" t="inlineStr">
        <is>
          <t>claude-sonnet-5</t>
        </is>
      </c>
      <c r="G154" t="inlineStr">
        <is>
          <t>claude-sonnet-5</t>
        </is>
      </c>
      <c r="H154" s="36" t="n">
        <v>18</v>
      </c>
      <c r="I154" s="36" t="n">
        <v>3375</v>
      </c>
      <c r="J154" s="36" t="n">
        <v>43125</v>
      </c>
      <c r="K154" s="36" t="n">
        <v>181250</v>
      </c>
      <c r="L154" s="36" t="n">
        <v>2893750</v>
      </c>
      <c r="M154" s="36" t="n">
        <v>44375</v>
      </c>
      <c r="N154" s="14">
        <f>IFERROR((I154*VLOOKUP($G154,'Claude Prices'!$A$5:$G$22,3,FALSE)+J154*VLOOKUP($G154,'Claude Prices'!$A$5:$G$22,4,FALSE)+K154*VLOOKUP($G154,'Claude Prices'!$A$5:$G$22,5,FALSE)+L154*VLOOKUP($G154,'Claude Prices'!$A$5:$G$22,6,FALSE)+M154*VLOOKUP($G154,'Claude Prices'!$A$5:$G$22,7,FALSE))/1000000,0)</f>
        <v/>
      </c>
      <c r="O154" s="14">
        <f>N154*ClaudeFxRate</f>
        <v/>
      </c>
    </row>
    <row r="155">
      <c r="A155" s="26" t="n">
        <v>46146</v>
      </c>
      <c r="B155" t="inlineStr">
        <is>
          <t>ops</t>
        </is>
      </c>
      <c r="C155" t="inlineStr">
        <is>
          <t>merges, promotions &amp; deploys</t>
        </is>
      </c>
      <c r="D155" t="inlineStr"/>
      <c r="E155" t="inlineStr"/>
      <c r="F155" t="inlineStr">
        <is>
          <t>claude-haiku-4-5-20251001</t>
        </is>
      </c>
      <c r="G155" t="inlineStr">
        <is>
          <t>claude-haiku-4-5</t>
        </is>
      </c>
      <c r="H155" s="36" t="n">
        <v>1</v>
      </c>
      <c r="I155" s="36" t="n">
        <v>294</v>
      </c>
      <c r="J155" s="36" t="n">
        <v>1294</v>
      </c>
      <c r="K155" s="36" t="n">
        <v>4941</v>
      </c>
      <c r="L155" s="36" t="n">
        <v>101176</v>
      </c>
      <c r="M155" s="36" t="n">
        <v>1117</v>
      </c>
      <c r="N155" s="14">
        <f>IFERROR((I155*VLOOKUP($G155,'Claude Prices'!$A$5:$G$22,3,FALSE)+J155*VLOOKUP($G155,'Claude Prices'!$A$5:$G$22,4,FALSE)+K155*VLOOKUP($G155,'Claude Prices'!$A$5:$G$22,5,FALSE)+L155*VLOOKUP($G155,'Claude Prices'!$A$5:$G$22,6,FALSE)+M155*VLOOKUP($G155,'Claude Prices'!$A$5:$G$22,7,FALSE))/1000000,0)</f>
        <v/>
      </c>
      <c r="O155" s="14">
        <f>N155*ClaudeFxRate</f>
        <v/>
      </c>
    </row>
    <row r="156">
      <c r="A156" s="26" t="n">
        <v>46147</v>
      </c>
      <c r="B156" t="inlineStr">
        <is>
          <t>story</t>
        </is>
      </c>
      <c r="C156" t="inlineStr">
        <is>
          <t>FAL-21</t>
        </is>
      </c>
      <c r="D156" t="inlineStr">
        <is>
          <t>2.1</t>
        </is>
      </c>
      <c r="E156" t="inlineStr">
        <is>
          <t>Review queue</t>
        </is>
      </c>
      <c r="F156" t="inlineStr">
        <is>
          <t>claude-sonnet-5</t>
        </is>
      </c>
      <c r="G156" t="inlineStr">
        <is>
          <t>claude-sonnet-5</t>
        </is>
      </c>
      <c r="H156" s="36" t="n">
        <v>18</v>
      </c>
      <c r="I156" s="36" t="n">
        <v>3375</v>
      </c>
      <c r="J156" s="36" t="n">
        <v>43125</v>
      </c>
      <c r="K156" s="36" t="n">
        <v>181250</v>
      </c>
      <c r="L156" s="36" t="n">
        <v>2893750</v>
      </c>
      <c r="M156" s="36" t="n">
        <v>44375</v>
      </c>
      <c r="N156" s="14">
        <f>IFERROR((I156*VLOOKUP($G156,'Claude Prices'!$A$5:$G$22,3,FALSE)+J156*VLOOKUP($G156,'Claude Prices'!$A$5:$G$22,4,FALSE)+K156*VLOOKUP($G156,'Claude Prices'!$A$5:$G$22,5,FALSE)+L156*VLOOKUP($G156,'Claude Prices'!$A$5:$G$22,6,FALSE)+M156*VLOOKUP($G156,'Claude Prices'!$A$5:$G$22,7,FALSE))/1000000,0)</f>
        <v/>
      </c>
      <c r="O156" s="14">
        <f>N156*ClaudeFxRate</f>
        <v/>
      </c>
    </row>
    <row r="157">
      <c r="A157" s="26" t="n">
        <v>46147</v>
      </c>
      <c r="B157" t="inlineStr">
        <is>
          <t>ops</t>
        </is>
      </c>
      <c r="C157" t="inlineStr">
        <is>
          <t>merges, promotions &amp; deploys</t>
        </is>
      </c>
      <c r="D157" t="inlineStr"/>
      <c r="E157" t="inlineStr"/>
      <c r="F157" t="inlineStr">
        <is>
          <t>claude-haiku-4-5-20251001</t>
        </is>
      </c>
      <c r="G157" t="inlineStr">
        <is>
          <t>claude-haiku-4-5</t>
        </is>
      </c>
      <c r="H157" s="36" t="n">
        <v>1</v>
      </c>
      <c r="I157" s="36" t="n">
        <v>294</v>
      </c>
      <c r="J157" s="36" t="n">
        <v>1294</v>
      </c>
      <c r="K157" s="36" t="n">
        <v>4941</v>
      </c>
      <c r="L157" s="36" t="n">
        <v>101176</v>
      </c>
      <c r="M157" s="36" t="n">
        <v>1117</v>
      </c>
      <c r="N157" s="14">
        <f>IFERROR((I157*VLOOKUP($G157,'Claude Prices'!$A$5:$G$22,3,FALSE)+J157*VLOOKUP($G157,'Claude Prices'!$A$5:$G$22,4,FALSE)+K157*VLOOKUP($G157,'Claude Prices'!$A$5:$G$22,5,FALSE)+L157*VLOOKUP($G157,'Claude Prices'!$A$5:$G$22,6,FALSE)+M157*VLOOKUP($G157,'Claude Prices'!$A$5:$G$22,7,FALSE))/1000000,0)</f>
        <v/>
      </c>
      <c r="O157" s="14">
        <f>N157*ClaudeFxRate</f>
        <v/>
      </c>
    </row>
    <row r="158">
      <c r="A158" s="26" t="n">
        <v>46148</v>
      </c>
      <c r="B158" t="inlineStr">
        <is>
          <t>story</t>
        </is>
      </c>
      <c r="C158" t="inlineStr">
        <is>
          <t>FAL-21</t>
        </is>
      </c>
      <c r="D158" t="inlineStr">
        <is>
          <t>2.1</t>
        </is>
      </c>
      <c r="E158" t="inlineStr">
        <is>
          <t>Review queue</t>
        </is>
      </c>
      <c r="F158" t="inlineStr">
        <is>
          <t>claude-sonnet-5</t>
        </is>
      </c>
      <c r="G158" t="inlineStr">
        <is>
          <t>claude-sonnet-5</t>
        </is>
      </c>
      <c r="H158" s="36" t="n">
        <v>18</v>
      </c>
      <c r="I158" s="36" t="n">
        <v>3375</v>
      </c>
      <c r="J158" s="36" t="n">
        <v>43125</v>
      </c>
      <c r="K158" s="36" t="n">
        <v>181250</v>
      </c>
      <c r="L158" s="36" t="n">
        <v>2893750</v>
      </c>
      <c r="M158" s="36" t="n">
        <v>44375</v>
      </c>
      <c r="N158" s="14">
        <f>IFERROR((I158*VLOOKUP($G158,'Claude Prices'!$A$5:$G$22,3,FALSE)+J158*VLOOKUP($G158,'Claude Prices'!$A$5:$G$22,4,FALSE)+K158*VLOOKUP($G158,'Claude Prices'!$A$5:$G$22,5,FALSE)+L158*VLOOKUP($G158,'Claude Prices'!$A$5:$G$22,6,FALSE)+M158*VLOOKUP($G158,'Claude Prices'!$A$5:$G$22,7,FALSE))/1000000,0)</f>
        <v/>
      </c>
      <c r="O158" s="14">
        <f>N158*ClaudeFxRate</f>
        <v/>
      </c>
    </row>
    <row r="159">
      <c r="A159" s="26" t="n">
        <v>46148</v>
      </c>
      <c r="B159" t="inlineStr">
        <is>
          <t>ops</t>
        </is>
      </c>
      <c r="C159" t="inlineStr">
        <is>
          <t>merges, promotions &amp; deploys</t>
        </is>
      </c>
      <c r="D159" t="inlineStr"/>
      <c r="E159" t="inlineStr"/>
      <c r="F159" t="inlineStr">
        <is>
          <t>claude-haiku-4-5-20251001</t>
        </is>
      </c>
      <c r="G159" t="inlineStr">
        <is>
          <t>claude-haiku-4-5</t>
        </is>
      </c>
      <c r="H159" s="36" t="n">
        <v>1</v>
      </c>
      <c r="I159" s="36" t="n">
        <v>294</v>
      </c>
      <c r="J159" s="36" t="n">
        <v>1294</v>
      </c>
      <c r="K159" s="36" t="n">
        <v>4941</v>
      </c>
      <c r="L159" s="36" t="n">
        <v>101176</v>
      </c>
      <c r="M159" s="36" t="n">
        <v>1117</v>
      </c>
      <c r="N159" s="14">
        <f>IFERROR((I159*VLOOKUP($G159,'Claude Prices'!$A$5:$G$22,3,FALSE)+J159*VLOOKUP($G159,'Claude Prices'!$A$5:$G$22,4,FALSE)+K159*VLOOKUP($G159,'Claude Prices'!$A$5:$G$22,5,FALSE)+L159*VLOOKUP($G159,'Claude Prices'!$A$5:$G$22,6,FALSE)+M159*VLOOKUP($G159,'Claude Prices'!$A$5:$G$22,7,FALSE))/1000000,0)</f>
        <v/>
      </c>
      <c r="O159" s="14">
        <f>N159*ClaudeFxRate</f>
        <v/>
      </c>
    </row>
    <row r="160">
      <c r="A160" s="26" t="n">
        <v>46149</v>
      </c>
      <c r="B160" t="inlineStr">
        <is>
          <t>story</t>
        </is>
      </c>
      <c r="C160" t="inlineStr">
        <is>
          <t>FAL-21</t>
        </is>
      </c>
      <c r="D160" t="inlineStr">
        <is>
          <t>2.1</t>
        </is>
      </c>
      <c r="E160" t="inlineStr">
        <is>
          <t>Review queue</t>
        </is>
      </c>
      <c r="F160" t="inlineStr">
        <is>
          <t>claude-sonnet-5</t>
        </is>
      </c>
      <c r="G160" t="inlineStr">
        <is>
          <t>claude-sonnet-5</t>
        </is>
      </c>
      <c r="H160" s="36" t="n">
        <v>18</v>
      </c>
      <c r="I160" s="36" t="n">
        <v>3375</v>
      </c>
      <c r="J160" s="36" t="n">
        <v>43125</v>
      </c>
      <c r="K160" s="36" t="n">
        <v>181250</v>
      </c>
      <c r="L160" s="36" t="n">
        <v>2893750</v>
      </c>
      <c r="M160" s="36" t="n">
        <v>44375</v>
      </c>
      <c r="N160" s="14">
        <f>IFERROR((I160*VLOOKUP($G160,'Claude Prices'!$A$5:$G$22,3,FALSE)+J160*VLOOKUP($G160,'Claude Prices'!$A$5:$G$22,4,FALSE)+K160*VLOOKUP($G160,'Claude Prices'!$A$5:$G$22,5,FALSE)+L160*VLOOKUP($G160,'Claude Prices'!$A$5:$G$22,6,FALSE)+M160*VLOOKUP($G160,'Claude Prices'!$A$5:$G$22,7,FALSE))/1000000,0)</f>
        <v/>
      </c>
      <c r="O160" s="14">
        <f>N160*ClaudeFxRate</f>
        <v/>
      </c>
    </row>
    <row r="161">
      <c r="A161" s="26" t="n">
        <v>46149</v>
      </c>
      <c r="B161" t="inlineStr">
        <is>
          <t>ops</t>
        </is>
      </c>
      <c r="C161" t="inlineStr">
        <is>
          <t>merges, promotions &amp; deploys</t>
        </is>
      </c>
      <c r="D161" t="inlineStr"/>
      <c r="E161" t="inlineStr"/>
      <c r="F161" t="inlineStr">
        <is>
          <t>claude-haiku-4-5-20251001</t>
        </is>
      </c>
      <c r="G161" t="inlineStr">
        <is>
          <t>claude-haiku-4-5</t>
        </is>
      </c>
      <c r="H161" s="36" t="n">
        <v>1</v>
      </c>
      <c r="I161" s="36" t="n">
        <v>294</v>
      </c>
      <c r="J161" s="36" t="n">
        <v>1294</v>
      </c>
      <c r="K161" s="36" t="n">
        <v>4941</v>
      </c>
      <c r="L161" s="36" t="n">
        <v>101176</v>
      </c>
      <c r="M161" s="36" t="n">
        <v>1117</v>
      </c>
      <c r="N161" s="14">
        <f>IFERROR((I161*VLOOKUP($G161,'Claude Prices'!$A$5:$G$22,3,FALSE)+J161*VLOOKUP($G161,'Claude Prices'!$A$5:$G$22,4,FALSE)+K161*VLOOKUP($G161,'Claude Prices'!$A$5:$G$22,5,FALSE)+L161*VLOOKUP($G161,'Claude Prices'!$A$5:$G$22,6,FALSE)+M161*VLOOKUP($G161,'Claude Prices'!$A$5:$G$22,7,FALSE))/1000000,0)</f>
        <v/>
      </c>
      <c r="O161" s="14">
        <f>N161*ClaudeFxRate</f>
        <v/>
      </c>
    </row>
    <row r="162">
      <c r="A162" s="26" t="n">
        <v>46150</v>
      </c>
      <c r="B162" t="inlineStr">
        <is>
          <t>story</t>
        </is>
      </c>
      <c r="C162" t="inlineStr">
        <is>
          <t>FAL-21</t>
        </is>
      </c>
      <c r="D162" t="inlineStr">
        <is>
          <t>2.1</t>
        </is>
      </c>
      <c r="E162" t="inlineStr">
        <is>
          <t>Review queue</t>
        </is>
      </c>
      <c r="F162" t="inlineStr">
        <is>
          <t>claude-sonnet-5</t>
        </is>
      </c>
      <c r="G162" t="inlineStr">
        <is>
          <t>claude-sonnet-5</t>
        </is>
      </c>
      <c r="H162" s="36" t="n">
        <v>18</v>
      </c>
      <c r="I162" s="36" t="n">
        <v>3375</v>
      </c>
      <c r="J162" s="36" t="n">
        <v>43125</v>
      </c>
      <c r="K162" s="36" t="n">
        <v>181250</v>
      </c>
      <c r="L162" s="36" t="n">
        <v>2893750</v>
      </c>
      <c r="M162" s="36" t="n">
        <v>44375</v>
      </c>
      <c r="N162" s="14">
        <f>IFERROR((I162*VLOOKUP($G162,'Claude Prices'!$A$5:$G$22,3,FALSE)+J162*VLOOKUP($G162,'Claude Prices'!$A$5:$G$22,4,FALSE)+K162*VLOOKUP($G162,'Claude Prices'!$A$5:$G$22,5,FALSE)+L162*VLOOKUP($G162,'Claude Prices'!$A$5:$G$22,6,FALSE)+M162*VLOOKUP($G162,'Claude Prices'!$A$5:$G$22,7,FALSE))/1000000,0)</f>
        <v/>
      </c>
      <c r="O162" s="14">
        <f>N162*ClaudeFxRate</f>
        <v/>
      </c>
    </row>
    <row r="163">
      <c r="A163" s="26" t="n">
        <v>46150</v>
      </c>
      <c r="B163" t="inlineStr">
        <is>
          <t>ops</t>
        </is>
      </c>
      <c r="C163" t="inlineStr">
        <is>
          <t>merges, promotions &amp; deploys</t>
        </is>
      </c>
      <c r="D163" t="inlineStr"/>
      <c r="E163" t="inlineStr"/>
      <c r="F163" t="inlineStr">
        <is>
          <t>claude-haiku-4-5-20251001</t>
        </is>
      </c>
      <c r="G163" t="inlineStr">
        <is>
          <t>claude-haiku-4-5</t>
        </is>
      </c>
      <c r="H163" s="36" t="n">
        <v>1</v>
      </c>
      <c r="I163" s="36" t="n">
        <v>294</v>
      </c>
      <c r="J163" s="36" t="n">
        <v>1294</v>
      </c>
      <c r="K163" s="36" t="n">
        <v>4941</v>
      </c>
      <c r="L163" s="36" t="n">
        <v>101176</v>
      </c>
      <c r="M163" s="36" t="n">
        <v>1117</v>
      </c>
      <c r="N163" s="14">
        <f>IFERROR((I163*VLOOKUP($G163,'Claude Prices'!$A$5:$G$22,3,FALSE)+J163*VLOOKUP($G163,'Claude Prices'!$A$5:$G$22,4,FALSE)+K163*VLOOKUP($G163,'Claude Prices'!$A$5:$G$22,5,FALSE)+L163*VLOOKUP($G163,'Claude Prices'!$A$5:$G$22,6,FALSE)+M163*VLOOKUP($G163,'Claude Prices'!$A$5:$G$22,7,FALSE))/1000000,0)</f>
        <v/>
      </c>
      <c r="O163" s="14">
        <f>N163*ClaudeFxRate</f>
        <v/>
      </c>
    </row>
    <row r="164">
      <c r="A164" s="26" t="n">
        <v>46153</v>
      </c>
      <c r="B164" t="inlineStr">
        <is>
          <t>story</t>
        </is>
      </c>
      <c r="C164" t="inlineStr">
        <is>
          <t>FAL-21</t>
        </is>
      </c>
      <c r="D164" t="inlineStr">
        <is>
          <t>2.1</t>
        </is>
      </c>
      <c r="E164" t="inlineStr">
        <is>
          <t>Review queue</t>
        </is>
      </c>
      <c r="F164" t="inlineStr">
        <is>
          <t>claude-sonnet-5</t>
        </is>
      </c>
      <c r="G164" t="inlineStr">
        <is>
          <t>claude-sonnet-5</t>
        </is>
      </c>
      <c r="H164" s="36" t="n">
        <v>18</v>
      </c>
      <c r="I164" s="36" t="n">
        <v>3375</v>
      </c>
      <c r="J164" s="36" t="n">
        <v>43125</v>
      </c>
      <c r="K164" s="36" t="n">
        <v>181250</v>
      </c>
      <c r="L164" s="36" t="n">
        <v>2893750</v>
      </c>
      <c r="M164" s="36" t="n">
        <v>44375</v>
      </c>
      <c r="N164" s="14">
        <f>IFERROR((I164*VLOOKUP($G164,'Claude Prices'!$A$5:$G$22,3,FALSE)+J164*VLOOKUP($G164,'Claude Prices'!$A$5:$G$22,4,FALSE)+K164*VLOOKUP($G164,'Claude Prices'!$A$5:$G$22,5,FALSE)+L164*VLOOKUP($G164,'Claude Prices'!$A$5:$G$22,6,FALSE)+M164*VLOOKUP($G164,'Claude Prices'!$A$5:$G$22,7,FALSE))/1000000,0)</f>
        <v/>
      </c>
      <c r="O164" s="14">
        <f>N164*ClaudeFxRate</f>
        <v/>
      </c>
    </row>
    <row r="165">
      <c r="A165" s="26" t="n">
        <v>46153</v>
      </c>
      <c r="B165" t="inlineStr">
        <is>
          <t>ops</t>
        </is>
      </c>
      <c r="C165" t="inlineStr">
        <is>
          <t>merges, promotions &amp; deploys</t>
        </is>
      </c>
      <c r="D165" t="inlineStr"/>
      <c r="E165" t="inlineStr"/>
      <c r="F165" t="inlineStr">
        <is>
          <t>claude-haiku-4-5-20251001</t>
        </is>
      </c>
      <c r="G165" t="inlineStr">
        <is>
          <t>claude-haiku-4-5</t>
        </is>
      </c>
      <c r="H165" s="36" t="n">
        <v>1</v>
      </c>
      <c r="I165" s="36" t="n">
        <v>294</v>
      </c>
      <c r="J165" s="36" t="n">
        <v>1294</v>
      </c>
      <c r="K165" s="36" t="n">
        <v>4941</v>
      </c>
      <c r="L165" s="36" t="n">
        <v>101176</v>
      </c>
      <c r="M165" s="36" t="n">
        <v>1117</v>
      </c>
      <c r="N165" s="14">
        <f>IFERROR((I165*VLOOKUP($G165,'Claude Prices'!$A$5:$G$22,3,FALSE)+J165*VLOOKUP($G165,'Claude Prices'!$A$5:$G$22,4,FALSE)+K165*VLOOKUP($G165,'Claude Prices'!$A$5:$G$22,5,FALSE)+L165*VLOOKUP($G165,'Claude Prices'!$A$5:$G$22,6,FALSE)+M165*VLOOKUP($G165,'Claude Prices'!$A$5:$G$22,7,FALSE))/1000000,0)</f>
        <v/>
      </c>
      <c r="O165" s="14">
        <f>N165*ClaudeFxRate</f>
        <v/>
      </c>
    </row>
    <row r="166">
      <c r="A166" s="26" t="n">
        <v>46154</v>
      </c>
      <c r="B166" t="inlineStr">
        <is>
          <t>story</t>
        </is>
      </c>
      <c r="C166" t="inlineStr">
        <is>
          <t>FAL-21</t>
        </is>
      </c>
      <c r="D166" t="inlineStr">
        <is>
          <t>2.1</t>
        </is>
      </c>
      <c r="E166" t="inlineStr">
        <is>
          <t>Review queue</t>
        </is>
      </c>
      <c r="F166" t="inlineStr">
        <is>
          <t>claude-sonnet-5</t>
        </is>
      </c>
      <c r="G166" t="inlineStr">
        <is>
          <t>claude-sonnet-5</t>
        </is>
      </c>
      <c r="H166" s="36" t="n">
        <v>19</v>
      </c>
      <c r="I166" s="36" t="n">
        <v>3375</v>
      </c>
      <c r="J166" s="36" t="n">
        <v>43125</v>
      </c>
      <c r="K166" s="36" t="n">
        <v>181250</v>
      </c>
      <c r="L166" s="36" t="n">
        <v>2893750</v>
      </c>
      <c r="M166" s="36" t="n">
        <v>44375</v>
      </c>
      <c r="N166" s="14">
        <f>IFERROR((I166*VLOOKUP($G166,'Claude Prices'!$A$5:$G$22,3,FALSE)+J166*VLOOKUP($G166,'Claude Prices'!$A$5:$G$22,4,FALSE)+K166*VLOOKUP($G166,'Claude Prices'!$A$5:$G$22,5,FALSE)+L166*VLOOKUP($G166,'Claude Prices'!$A$5:$G$22,6,FALSE)+M166*VLOOKUP($G166,'Claude Prices'!$A$5:$G$22,7,FALSE))/1000000,0)</f>
        <v/>
      </c>
      <c r="O166" s="14">
        <f>N166*ClaudeFxRate</f>
        <v/>
      </c>
    </row>
    <row r="167">
      <c r="A167" s="26" t="n">
        <v>46154</v>
      </c>
      <c r="B167" t="inlineStr">
        <is>
          <t>ops</t>
        </is>
      </c>
      <c r="C167" t="inlineStr">
        <is>
          <t>merges, promotions &amp; deploys</t>
        </is>
      </c>
      <c r="D167" t="inlineStr"/>
      <c r="E167" t="inlineStr"/>
      <c r="F167" t="inlineStr">
        <is>
          <t>claude-haiku-4-5-20251001</t>
        </is>
      </c>
      <c r="G167" t="inlineStr">
        <is>
          <t>claude-haiku-4-5</t>
        </is>
      </c>
      <c r="H167" s="36" t="n">
        <v>1</v>
      </c>
      <c r="I167" s="36" t="n">
        <v>294</v>
      </c>
      <c r="J167" s="36" t="n">
        <v>1294</v>
      </c>
      <c r="K167" s="36" t="n">
        <v>4941</v>
      </c>
      <c r="L167" s="36" t="n">
        <v>101176</v>
      </c>
      <c r="M167" s="36" t="n">
        <v>1117</v>
      </c>
      <c r="N167" s="14">
        <f>IFERROR((I167*VLOOKUP($G167,'Claude Prices'!$A$5:$G$22,3,FALSE)+J167*VLOOKUP($G167,'Claude Prices'!$A$5:$G$22,4,FALSE)+K167*VLOOKUP($G167,'Claude Prices'!$A$5:$G$22,5,FALSE)+L167*VLOOKUP($G167,'Claude Prices'!$A$5:$G$22,6,FALSE)+M167*VLOOKUP($G167,'Claude Prices'!$A$5:$G$22,7,FALSE))/1000000,0)</f>
        <v/>
      </c>
      <c r="O167" s="14">
        <f>N167*ClaudeFxRate</f>
        <v/>
      </c>
    </row>
    <row r="168">
      <c r="A168" s="26" t="n">
        <v>46155</v>
      </c>
      <c r="B168" t="inlineStr">
        <is>
          <t>story</t>
        </is>
      </c>
      <c r="C168" t="inlineStr">
        <is>
          <t>FAL-22</t>
        </is>
      </c>
      <c r="D168" t="inlineStr">
        <is>
          <t>2.2</t>
        </is>
      </c>
      <c r="E168" t="inlineStr">
        <is>
          <t>Approve or reject</t>
        </is>
      </c>
      <c r="F168" t="inlineStr">
        <is>
          <t>claude-sonnet-5</t>
        </is>
      </c>
      <c r="G168" t="inlineStr">
        <is>
          <t>claude-sonnet-5</t>
        </is>
      </c>
      <c r="H168" s="36" t="n">
        <v>14</v>
      </c>
      <c r="I168" s="36" t="n">
        <v>2687</v>
      </c>
      <c r="J168" s="36" t="n">
        <v>35000</v>
      </c>
      <c r="K168" s="36" t="n">
        <v>143750</v>
      </c>
      <c r="L168" s="36" t="n">
        <v>2312500</v>
      </c>
      <c r="M168" s="36" t="n">
        <v>35625</v>
      </c>
      <c r="N168" s="14">
        <f>IFERROR((I168*VLOOKUP($G168,'Claude Prices'!$A$5:$G$22,3,FALSE)+J168*VLOOKUP($G168,'Claude Prices'!$A$5:$G$22,4,FALSE)+K168*VLOOKUP($G168,'Claude Prices'!$A$5:$G$22,5,FALSE)+L168*VLOOKUP($G168,'Claude Prices'!$A$5:$G$22,6,FALSE)+M168*VLOOKUP($G168,'Claude Prices'!$A$5:$G$22,7,FALSE))/1000000,0)</f>
        <v/>
      </c>
      <c r="O168" s="14">
        <f>N168*ClaudeFxRate</f>
        <v/>
      </c>
    </row>
    <row r="169">
      <c r="A169" s="26" t="n">
        <v>46155</v>
      </c>
      <c r="B169" t="inlineStr">
        <is>
          <t>ops</t>
        </is>
      </c>
      <c r="C169" t="inlineStr">
        <is>
          <t>merges, promotions &amp; deploys</t>
        </is>
      </c>
      <c r="D169" t="inlineStr"/>
      <c r="E169" t="inlineStr"/>
      <c r="F169" t="inlineStr">
        <is>
          <t>claude-haiku-4-5-20251001</t>
        </is>
      </c>
      <c r="G169" t="inlineStr">
        <is>
          <t>claude-haiku-4-5</t>
        </is>
      </c>
      <c r="H169" s="36" t="n">
        <v>1</v>
      </c>
      <c r="I169" s="36" t="n">
        <v>294</v>
      </c>
      <c r="J169" s="36" t="n">
        <v>1294</v>
      </c>
      <c r="K169" s="36" t="n">
        <v>4941</v>
      </c>
      <c r="L169" s="36" t="n">
        <v>101176</v>
      </c>
      <c r="M169" s="36" t="n">
        <v>1117</v>
      </c>
      <c r="N169" s="14">
        <f>IFERROR((I169*VLOOKUP($G169,'Claude Prices'!$A$5:$G$22,3,FALSE)+J169*VLOOKUP($G169,'Claude Prices'!$A$5:$G$22,4,FALSE)+K169*VLOOKUP($G169,'Claude Prices'!$A$5:$G$22,5,FALSE)+L169*VLOOKUP($G169,'Claude Prices'!$A$5:$G$22,6,FALSE)+M169*VLOOKUP($G169,'Claude Prices'!$A$5:$G$22,7,FALSE))/1000000,0)</f>
        <v/>
      </c>
      <c r="O169" s="14">
        <f>N169*ClaudeFxRate</f>
        <v/>
      </c>
    </row>
    <row r="170">
      <c r="A170" s="26" t="n">
        <v>46156</v>
      </c>
      <c r="B170" t="inlineStr">
        <is>
          <t>story</t>
        </is>
      </c>
      <c r="C170" t="inlineStr">
        <is>
          <t>FAL-22</t>
        </is>
      </c>
      <c r="D170" t="inlineStr">
        <is>
          <t>2.2</t>
        </is>
      </c>
      <c r="E170" t="inlineStr">
        <is>
          <t>Approve or reject</t>
        </is>
      </c>
      <c r="F170" t="inlineStr">
        <is>
          <t>claude-sonnet-5</t>
        </is>
      </c>
      <c r="G170" t="inlineStr">
        <is>
          <t>claude-sonnet-5</t>
        </is>
      </c>
      <c r="H170" s="36" t="n">
        <v>14</v>
      </c>
      <c r="I170" s="36" t="n">
        <v>2687</v>
      </c>
      <c r="J170" s="36" t="n">
        <v>35000</v>
      </c>
      <c r="K170" s="36" t="n">
        <v>143750</v>
      </c>
      <c r="L170" s="36" t="n">
        <v>2312500</v>
      </c>
      <c r="M170" s="36" t="n">
        <v>35625</v>
      </c>
      <c r="N170" s="14">
        <f>IFERROR((I170*VLOOKUP($G170,'Claude Prices'!$A$5:$G$22,3,FALSE)+J170*VLOOKUP($G170,'Claude Prices'!$A$5:$G$22,4,FALSE)+K170*VLOOKUP($G170,'Claude Prices'!$A$5:$G$22,5,FALSE)+L170*VLOOKUP($G170,'Claude Prices'!$A$5:$G$22,6,FALSE)+M170*VLOOKUP($G170,'Claude Prices'!$A$5:$G$22,7,FALSE))/1000000,0)</f>
        <v/>
      </c>
      <c r="O170" s="14">
        <f>N170*ClaudeFxRate</f>
        <v/>
      </c>
    </row>
    <row r="171">
      <c r="A171" s="26" t="n">
        <v>46156</v>
      </c>
      <c r="B171" t="inlineStr">
        <is>
          <t>ops</t>
        </is>
      </c>
      <c r="C171" t="inlineStr">
        <is>
          <t>merges, promotions &amp; deploys</t>
        </is>
      </c>
      <c r="D171" t="inlineStr"/>
      <c r="E171" t="inlineStr"/>
      <c r="F171" t="inlineStr">
        <is>
          <t>claude-haiku-4-5-20251001</t>
        </is>
      </c>
      <c r="G171" t="inlineStr">
        <is>
          <t>claude-haiku-4-5</t>
        </is>
      </c>
      <c r="H171" s="36" t="n">
        <v>1</v>
      </c>
      <c r="I171" s="36" t="n">
        <v>294</v>
      </c>
      <c r="J171" s="36" t="n">
        <v>1294</v>
      </c>
      <c r="K171" s="36" t="n">
        <v>4941</v>
      </c>
      <c r="L171" s="36" t="n">
        <v>101176</v>
      </c>
      <c r="M171" s="36" t="n">
        <v>1117</v>
      </c>
      <c r="N171" s="14">
        <f>IFERROR((I171*VLOOKUP($G171,'Claude Prices'!$A$5:$G$22,3,FALSE)+J171*VLOOKUP($G171,'Claude Prices'!$A$5:$G$22,4,FALSE)+K171*VLOOKUP($G171,'Claude Prices'!$A$5:$G$22,5,FALSE)+L171*VLOOKUP($G171,'Claude Prices'!$A$5:$G$22,6,FALSE)+M171*VLOOKUP($G171,'Claude Prices'!$A$5:$G$22,7,FALSE))/1000000,0)</f>
        <v/>
      </c>
      <c r="O171" s="14">
        <f>N171*ClaudeFxRate</f>
        <v/>
      </c>
    </row>
    <row r="172">
      <c r="A172" s="26" t="n">
        <v>46157</v>
      </c>
      <c r="B172" t="inlineStr">
        <is>
          <t>story</t>
        </is>
      </c>
      <c r="C172" t="inlineStr">
        <is>
          <t>FAL-22</t>
        </is>
      </c>
      <c r="D172" t="inlineStr">
        <is>
          <t>2.2</t>
        </is>
      </c>
      <c r="E172" t="inlineStr">
        <is>
          <t>Approve or reject</t>
        </is>
      </c>
      <c r="F172" t="inlineStr">
        <is>
          <t>claude-sonnet-5</t>
        </is>
      </c>
      <c r="G172" t="inlineStr">
        <is>
          <t>claude-sonnet-5</t>
        </is>
      </c>
      <c r="H172" s="36" t="n">
        <v>14</v>
      </c>
      <c r="I172" s="36" t="n">
        <v>2687</v>
      </c>
      <c r="J172" s="36" t="n">
        <v>35000</v>
      </c>
      <c r="K172" s="36" t="n">
        <v>143750</v>
      </c>
      <c r="L172" s="36" t="n">
        <v>2312500</v>
      </c>
      <c r="M172" s="36" t="n">
        <v>35625</v>
      </c>
      <c r="N172" s="14">
        <f>IFERROR((I172*VLOOKUP($G172,'Claude Prices'!$A$5:$G$22,3,FALSE)+J172*VLOOKUP($G172,'Claude Prices'!$A$5:$G$22,4,FALSE)+K172*VLOOKUP($G172,'Claude Prices'!$A$5:$G$22,5,FALSE)+L172*VLOOKUP($G172,'Claude Prices'!$A$5:$G$22,6,FALSE)+M172*VLOOKUP($G172,'Claude Prices'!$A$5:$G$22,7,FALSE))/1000000,0)</f>
        <v/>
      </c>
      <c r="O172" s="14">
        <f>N172*ClaudeFxRate</f>
        <v/>
      </c>
    </row>
    <row r="173">
      <c r="A173" s="26" t="n">
        <v>46157</v>
      </c>
      <c r="B173" t="inlineStr">
        <is>
          <t>ops</t>
        </is>
      </c>
      <c r="C173" t="inlineStr">
        <is>
          <t>merges, promotions &amp; deploys</t>
        </is>
      </c>
      <c r="D173" t="inlineStr"/>
      <c r="E173" t="inlineStr"/>
      <c r="F173" t="inlineStr">
        <is>
          <t>claude-haiku-4-5-20251001</t>
        </is>
      </c>
      <c r="G173" t="inlineStr">
        <is>
          <t>claude-haiku-4-5</t>
        </is>
      </c>
      <c r="H173" s="36" t="n">
        <v>1</v>
      </c>
      <c r="I173" s="36" t="n">
        <v>294</v>
      </c>
      <c r="J173" s="36" t="n">
        <v>1294</v>
      </c>
      <c r="K173" s="36" t="n">
        <v>4941</v>
      </c>
      <c r="L173" s="36" t="n">
        <v>101176</v>
      </c>
      <c r="M173" s="36" t="n">
        <v>1117</v>
      </c>
      <c r="N173" s="14">
        <f>IFERROR((I173*VLOOKUP($G173,'Claude Prices'!$A$5:$G$22,3,FALSE)+J173*VLOOKUP($G173,'Claude Prices'!$A$5:$G$22,4,FALSE)+K173*VLOOKUP($G173,'Claude Prices'!$A$5:$G$22,5,FALSE)+L173*VLOOKUP($G173,'Claude Prices'!$A$5:$G$22,6,FALSE)+M173*VLOOKUP($G173,'Claude Prices'!$A$5:$G$22,7,FALSE))/1000000,0)</f>
        <v/>
      </c>
      <c r="O173" s="14">
        <f>N173*ClaudeFxRate</f>
        <v/>
      </c>
    </row>
    <row r="174">
      <c r="A174" s="26" t="n">
        <v>46160</v>
      </c>
      <c r="B174" t="inlineStr">
        <is>
          <t>story</t>
        </is>
      </c>
      <c r="C174" t="inlineStr">
        <is>
          <t>FAL-22</t>
        </is>
      </c>
      <c r="D174" t="inlineStr">
        <is>
          <t>2.2</t>
        </is>
      </c>
      <c r="E174" t="inlineStr">
        <is>
          <t>Approve or reject</t>
        </is>
      </c>
      <c r="F174" t="inlineStr">
        <is>
          <t>claude-sonnet-5</t>
        </is>
      </c>
      <c r="G174" t="inlineStr">
        <is>
          <t>claude-sonnet-5</t>
        </is>
      </c>
      <c r="H174" s="36" t="n">
        <v>14</v>
      </c>
      <c r="I174" s="36" t="n">
        <v>2687</v>
      </c>
      <c r="J174" s="36" t="n">
        <v>35000</v>
      </c>
      <c r="K174" s="36" t="n">
        <v>143750</v>
      </c>
      <c r="L174" s="36" t="n">
        <v>2312500</v>
      </c>
      <c r="M174" s="36" t="n">
        <v>35625</v>
      </c>
      <c r="N174" s="14">
        <f>IFERROR((I174*VLOOKUP($G174,'Claude Prices'!$A$5:$G$22,3,FALSE)+J174*VLOOKUP($G174,'Claude Prices'!$A$5:$G$22,4,FALSE)+K174*VLOOKUP($G174,'Claude Prices'!$A$5:$G$22,5,FALSE)+L174*VLOOKUP($G174,'Claude Prices'!$A$5:$G$22,6,FALSE)+M174*VLOOKUP($G174,'Claude Prices'!$A$5:$G$22,7,FALSE))/1000000,0)</f>
        <v/>
      </c>
      <c r="O174" s="14">
        <f>N174*ClaudeFxRate</f>
        <v/>
      </c>
    </row>
    <row r="175">
      <c r="A175" s="26" t="n">
        <v>46160</v>
      </c>
      <c r="B175" t="inlineStr">
        <is>
          <t>ops</t>
        </is>
      </c>
      <c r="C175" t="inlineStr">
        <is>
          <t>merges, promotions &amp; deploys</t>
        </is>
      </c>
      <c r="D175" t="inlineStr"/>
      <c r="E175" t="inlineStr"/>
      <c r="F175" t="inlineStr">
        <is>
          <t>claude-haiku-4-5-20251001</t>
        </is>
      </c>
      <c r="G175" t="inlineStr">
        <is>
          <t>claude-haiku-4-5</t>
        </is>
      </c>
      <c r="H175" s="36" t="n">
        <v>1</v>
      </c>
      <c r="I175" s="36" t="n">
        <v>294</v>
      </c>
      <c r="J175" s="36" t="n">
        <v>1294</v>
      </c>
      <c r="K175" s="36" t="n">
        <v>4941</v>
      </c>
      <c r="L175" s="36" t="n">
        <v>101176</v>
      </c>
      <c r="M175" s="36" t="n">
        <v>1117</v>
      </c>
      <c r="N175" s="14">
        <f>IFERROR((I175*VLOOKUP($G175,'Claude Prices'!$A$5:$G$22,3,FALSE)+J175*VLOOKUP($G175,'Claude Prices'!$A$5:$G$22,4,FALSE)+K175*VLOOKUP($G175,'Claude Prices'!$A$5:$G$22,5,FALSE)+L175*VLOOKUP($G175,'Claude Prices'!$A$5:$G$22,6,FALSE)+M175*VLOOKUP($G175,'Claude Prices'!$A$5:$G$22,7,FALSE))/1000000,0)</f>
        <v/>
      </c>
      <c r="O175" s="14">
        <f>N175*ClaudeFxRate</f>
        <v/>
      </c>
    </row>
    <row r="176">
      <c r="A176" s="26" t="n">
        <v>46161</v>
      </c>
      <c r="B176" t="inlineStr">
        <is>
          <t>story</t>
        </is>
      </c>
      <c r="C176" t="inlineStr">
        <is>
          <t>FAL-22</t>
        </is>
      </c>
      <c r="D176" t="inlineStr">
        <is>
          <t>2.2</t>
        </is>
      </c>
      <c r="E176" t="inlineStr">
        <is>
          <t>Approve or reject</t>
        </is>
      </c>
      <c r="F176" t="inlineStr">
        <is>
          <t>claude-sonnet-5</t>
        </is>
      </c>
      <c r="G176" t="inlineStr">
        <is>
          <t>claude-sonnet-5</t>
        </is>
      </c>
      <c r="H176" s="36" t="n">
        <v>14</v>
      </c>
      <c r="I176" s="36" t="n">
        <v>2687</v>
      </c>
      <c r="J176" s="36" t="n">
        <v>35000</v>
      </c>
      <c r="K176" s="36" t="n">
        <v>143750</v>
      </c>
      <c r="L176" s="36" t="n">
        <v>2312500</v>
      </c>
      <c r="M176" s="36" t="n">
        <v>35625</v>
      </c>
      <c r="N176" s="14">
        <f>IFERROR((I176*VLOOKUP($G176,'Claude Prices'!$A$5:$G$22,3,FALSE)+J176*VLOOKUP($G176,'Claude Prices'!$A$5:$G$22,4,FALSE)+K176*VLOOKUP($G176,'Claude Prices'!$A$5:$G$22,5,FALSE)+L176*VLOOKUP($G176,'Claude Prices'!$A$5:$G$22,6,FALSE)+M176*VLOOKUP($G176,'Claude Prices'!$A$5:$G$22,7,FALSE))/1000000,0)</f>
        <v/>
      </c>
      <c r="O176" s="14">
        <f>N176*ClaudeFxRate</f>
        <v/>
      </c>
    </row>
    <row r="177">
      <c r="A177" s="26" t="n">
        <v>46161</v>
      </c>
      <c r="B177" t="inlineStr">
        <is>
          <t>ops</t>
        </is>
      </c>
      <c r="C177" t="inlineStr">
        <is>
          <t>merges, promotions &amp; deploys</t>
        </is>
      </c>
      <c r="D177" t="inlineStr"/>
      <c r="E177" t="inlineStr"/>
      <c r="F177" t="inlineStr">
        <is>
          <t>claude-haiku-4-5-20251001</t>
        </is>
      </c>
      <c r="G177" t="inlineStr">
        <is>
          <t>claude-haiku-4-5</t>
        </is>
      </c>
      <c r="H177" s="36" t="n">
        <v>1</v>
      </c>
      <c r="I177" s="36" t="n">
        <v>294</v>
      </c>
      <c r="J177" s="36" t="n">
        <v>1294</v>
      </c>
      <c r="K177" s="36" t="n">
        <v>4941</v>
      </c>
      <c r="L177" s="36" t="n">
        <v>101176</v>
      </c>
      <c r="M177" s="36" t="n">
        <v>1117</v>
      </c>
      <c r="N177" s="14">
        <f>IFERROR((I177*VLOOKUP($G177,'Claude Prices'!$A$5:$G$22,3,FALSE)+J177*VLOOKUP($G177,'Claude Prices'!$A$5:$G$22,4,FALSE)+K177*VLOOKUP($G177,'Claude Prices'!$A$5:$G$22,5,FALSE)+L177*VLOOKUP($G177,'Claude Prices'!$A$5:$G$22,6,FALSE)+M177*VLOOKUP($G177,'Claude Prices'!$A$5:$G$22,7,FALSE))/1000000,0)</f>
        <v/>
      </c>
      <c r="O177" s="14">
        <f>N177*ClaudeFxRate</f>
        <v/>
      </c>
    </row>
    <row r="178">
      <c r="A178" s="26" t="n">
        <v>46162</v>
      </c>
      <c r="B178" t="inlineStr">
        <is>
          <t>story</t>
        </is>
      </c>
      <c r="C178" t="inlineStr">
        <is>
          <t>FAL-22</t>
        </is>
      </c>
      <c r="D178" t="inlineStr">
        <is>
          <t>2.2</t>
        </is>
      </c>
      <c r="E178" t="inlineStr">
        <is>
          <t>Approve or reject</t>
        </is>
      </c>
      <c r="F178" t="inlineStr">
        <is>
          <t>claude-sonnet-5</t>
        </is>
      </c>
      <c r="G178" t="inlineStr">
        <is>
          <t>claude-sonnet-5</t>
        </is>
      </c>
      <c r="H178" s="36" t="n">
        <v>14</v>
      </c>
      <c r="I178" s="36" t="n">
        <v>2687</v>
      </c>
      <c r="J178" s="36" t="n">
        <v>35000</v>
      </c>
      <c r="K178" s="36" t="n">
        <v>143750</v>
      </c>
      <c r="L178" s="36" t="n">
        <v>2312500</v>
      </c>
      <c r="M178" s="36" t="n">
        <v>35625</v>
      </c>
      <c r="N178" s="14">
        <f>IFERROR((I178*VLOOKUP($G178,'Claude Prices'!$A$5:$G$22,3,FALSE)+J178*VLOOKUP($G178,'Claude Prices'!$A$5:$G$22,4,FALSE)+K178*VLOOKUP($G178,'Claude Prices'!$A$5:$G$22,5,FALSE)+L178*VLOOKUP($G178,'Claude Prices'!$A$5:$G$22,6,FALSE)+M178*VLOOKUP($G178,'Claude Prices'!$A$5:$G$22,7,FALSE))/1000000,0)</f>
        <v/>
      </c>
      <c r="O178" s="14">
        <f>N178*ClaudeFxRate</f>
        <v/>
      </c>
    </row>
    <row r="179">
      <c r="A179" s="26" t="n">
        <v>46162</v>
      </c>
      <c r="B179" t="inlineStr">
        <is>
          <t>ops</t>
        </is>
      </c>
      <c r="C179" t="inlineStr">
        <is>
          <t>merges, promotions &amp; deploys</t>
        </is>
      </c>
      <c r="D179" t="inlineStr"/>
      <c r="E179" t="inlineStr"/>
      <c r="F179" t="inlineStr">
        <is>
          <t>claude-haiku-4-5-20251001</t>
        </is>
      </c>
      <c r="G179" t="inlineStr">
        <is>
          <t>claude-haiku-4-5</t>
        </is>
      </c>
      <c r="H179" s="36" t="n">
        <v>1</v>
      </c>
      <c r="I179" s="36" t="n">
        <v>294</v>
      </c>
      <c r="J179" s="36" t="n">
        <v>1294</v>
      </c>
      <c r="K179" s="36" t="n">
        <v>4941</v>
      </c>
      <c r="L179" s="36" t="n">
        <v>101176</v>
      </c>
      <c r="M179" s="36" t="n">
        <v>1117</v>
      </c>
      <c r="N179" s="14">
        <f>IFERROR((I179*VLOOKUP($G179,'Claude Prices'!$A$5:$G$22,3,FALSE)+J179*VLOOKUP($G179,'Claude Prices'!$A$5:$G$22,4,FALSE)+K179*VLOOKUP($G179,'Claude Prices'!$A$5:$G$22,5,FALSE)+L179*VLOOKUP($G179,'Claude Prices'!$A$5:$G$22,6,FALSE)+M179*VLOOKUP($G179,'Claude Prices'!$A$5:$G$22,7,FALSE))/1000000,0)</f>
        <v/>
      </c>
      <c r="O179" s="14">
        <f>N179*ClaudeFxRate</f>
        <v/>
      </c>
    </row>
    <row r="180">
      <c r="A180" s="26" t="n">
        <v>46163</v>
      </c>
      <c r="B180" t="inlineStr">
        <is>
          <t>story</t>
        </is>
      </c>
      <c r="C180" t="inlineStr">
        <is>
          <t>FAL-22</t>
        </is>
      </c>
      <c r="D180" t="inlineStr">
        <is>
          <t>2.2</t>
        </is>
      </c>
      <c r="E180" t="inlineStr">
        <is>
          <t>Approve or reject</t>
        </is>
      </c>
      <c r="F180" t="inlineStr">
        <is>
          <t>claude-sonnet-5</t>
        </is>
      </c>
      <c r="G180" t="inlineStr">
        <is>
          <t>claude-sonnet-5</t>
        </is>
      </c>
      <c r="H180" s="36" t="n">
        <v>14</v>
      </c>
      <c r="I180" s="36" t="n">
        <v>2687</v>
      </c>
      <c r="J180" s="36" t="n">
        <v>35000</v>
      </c>
      <c r="K180" s="36" t="n">
        <v>143750</v>
      </c>
      <c r="L180" s="36" t="n">
        <v>2312500</v>
      </c>
      <c r="M180" s="36" t="n">
        <v>35625</v>
      </c>
      <c r="N180" s="14">
        <f>IFERROR((I180*VLOOKUP($G180,'Claude Prices'!$A$5:$G$22,3,FALSE)+J180*VLOOKUP($G180,'Claude Prices'!$A$5:$G$22,4,FALSE)+K180*VLOOKUP($G180,'Claude Prices'!$A$5:$G$22,5,FALSE)+L180*VLOOKUP($G180,'Claude Prices'!$A$5:$G$22,6,FALSE)+M180*VLOOKUP($G180,'Claude Prices'!$A$5:$G$22,7,FALSE))/1000000,0)</f>
        <v/>
      </c>
      <c r="O180" s="14">
        <f>N180*ClaudeFxRate</f>
        <v/>
      </c>
    </row>
    <row r="181">
      <c r="A181" s="26" t="n">
        <v>46163</v>
      </c>
      <c r="B181" t="inlineStr">
        <is>
          <t>ops</t>
        </is>
      </c>
      <c r="C181" t="inlineStr">
        <is>
          <t>merges, promotions &amp; deploys</t>
        </is>
      </c>
      <c r="D181" t="inlineStr"/>
      <c r="E181" t="inlineStr"/>
      <c r="F181" t="inlineStr">
        <is>
          <t>claude-haiku-4-5-20251001</t>
        </is>
      </c>
      <c r="G181" t="inlineStr">
        <is>
          <t>claude-haiku-4-5</t>
        </is>
      </c>
      <c r="H181" s="36" t="n">
        <v>1</v>
      </c>
      <c r="I181" s="36" t="n">
        <v>294</v>
      </c>
      <c r="J181" s="36" t="n">
        <v>1294</v>
      </c>
      <c r="K181" s="36" t="n">
        <v>4941</v>
      </c>
      <c r="L181" s="36" t="n">
        <v>101176</v>
      </c>
      <c r="M181" s="36" t="n">
        <v>1117</v>
      </c>
      <c r="N181" s="14">
        <f>IFERROR((I181*VLOOKUP($G181,'Claude Prices'!$A$5:$G$22,3,FALSE)+J181*VLOOKUP($G181,'Claude Prices'!$A$5:$G$22,4,FALSE)+K181*VLOOKUP($G181,'Claude Prices'!$A$5:$G$22,5,FALSE)+L181*VLOOKUP($G181,'Claude Prices'!$A$5:$G$22,6,FALSE)+M181*VLOOKUP($G181,'Claude Prices'!$A$5:$G$22,7,FALSE))/1000000,0)</f>
        <v/>
      </c>
      <c r="O181" s="14">
        <f>N181*ClaudeFxRate</f>
        <v/>
      </c>
    </row>
    <row r="182">
      <c r="A182" s="26" t="n">
        <v>46164</v>
      </c>
      <c r="B182" t="inlineStr">
        <is>
          <t>story</t>
        </is>
      </c>
      <c r="C182" t="inlineStr">
        <is>
          <t>FAL-22</t>
        </is>
      </c>
      <c r="D182" t="inlineStr">
        <is>
          <t>2.2</t>
        </is>
      </c>
      <c r="E182" t="inlineStr">
        <is>
          <t>Approve or reject</t>
        </is>
      </c>
      <c r="F182" t="inlineStr">
        <is>
          <t>claude-sonnet-5</t>
        </is>
      </c>
      <c r="G182" t="inlineStr">
        <is>
          <t>claude-sonnet-5</t>
        </is>
      </c>
      <c r="H182" s="36" t="n">
        <v>14</v>
      </c>
      <c r="I182" s="36" t="n">
        <v>2687</v>
      </c>
      <c r="J182" s="36" t="n">
        <v>35000</v>
      </c>
      <c r="K182" s="36" t="n">
        <v>143750</v>
      </c>
      <c r="L182" s="36" t="n">
        <v>2312500</v>
      </c>
      <c r="M182" s="36" t="n">
        <v>35625</v>
      </c>
      <c r="N182" s="14">
        <f>IFERROR((I182*VLOOKUP($G182,'Claude Prices'!$A$5:$G$22,3,FALSE)+J182*VLOOKUP($G182,'Claude Prices'!$A$5:$G$22,4,FALSE)+K182*VLOOKUP($G182,'Claude Prices'!$A$5:$G$22,5,FALSE)+L182*VLOOKUP($G182,'Claude Prices'!$A$5:$G$22,6,FALSE)+M182*VLOOKUP($G182,'Claude Prices'!$A$5:$G$22,7,FALSE))/1000000,0)</f>
        <v/>
      </c>
      <c r="O182" s="14">
        <f>N182*ClaudeFxRate</f>
        <v/>
      </c>
    </row>
    <row r="183">
      <c r="A183" s="26" t="n">
        <v>46164</v>
      </c>
      <c r="B183" t="inlineStr">
        <is>
          <t>ops</t>
        </is>
      </c>
      <c r="C183" t="inlineStr">
        <is>
          <t>merges, promotions &amp; deploys</t>
        </is>
      </c>
      <c r="D183" t="inlineStr"/>
      <c r="E183" t="inlineStr"/>
      <c r="F183" t="inlineStr">
        <is>
          <t>claude-haiku-4-5-20251001</t>
        </is>
      </c>
      <c r="G183" t="inlineStr">
        <is>
          <t>claude-haiku-4-5</t>
        </is>
      </c>
      <c r="H183" s="36" t="n">
        <v>1</v>
      </c>
      <c r="I183" s="36" t="n">
        <v>294</v>
      </c>
      <c r="J183" s="36" t="n">
        <v>1294</v>
      </c>
      <c r="K183" s="36" t="n">
        <v>4941</v>
      </c>
      <c r="L183" s="36" t="n">
        <v>101176</v>
      </c>
      <c r="M183" s="36" t="n">
        <v>1117</v>
      </c>
      <c r="N183" s="14">
        <f>IFERROR((I183*VLOOKUP($G183,'Claude Prices'!$A$5:$G$22,3,FALSE)+J183*VLOOKUP($G183,'Claude Prices'!$A$5:$G$22,4,FALSE)+K183*VLOOKUP($G183,'Claude Prices'!$A$5:$G$22,5,FALSE)+L183*VLOOKUP($G183,'Claude Prices'!$A$5:$G$22,6,FALSE)+M183*VLOOKUP($G183,'Claude Prices'!$A$5:$G$22,7,FALSE))/1000000,0)</f>
        <v/>
      </c>
      <c r="O183" s="14">
        <f>N183*ClaudeFxRate</f>
        <v/>
      </c>
    </row>
    <row r="184">
      <c r="A184" s="26" t="n">
        <v>46167</v>
      </c>
      <c r="B184" t="inlineStr">
        <is>
          <t>story</t>
        </is>
      </c>
      <c r="C184" t="inlineStr">
        <is>
          <t>FAL-22</t>
        </is>
      </c>
      <c r="D184" t="inlineStr">
        <is>
          <t>2.2</t>
        </is>
      </c>
      <c r="E184" t="inlineStr">
        <is>
          <t>Approve or reject</t>
        </is>
      </c>
      <c r="F184" t="inlineStr">
        <is>
          <t>claude-sonnet-5</t>
        </is>
      </c>
      <c r="G184" t="inlineStr">
        <is>
          <t>claude-sonnet-5</t>
        </is>
      </c>
      <c r="H184" s="36" t="n">
        <v>14</v>
      </c>
      <c r="I184" s="36" t="n">
        <v>2687</v>
      </c>
      <c r="J184" s="36" t="n">
        <v>35000</v>
      </c>
      <c r="K184" s="36" t="n">
        <v>143750</v>
      </c>
      <c r="L184" s="36" t="n">
        <v>2312500</v>
      </c>
      <c r="M184" s="36" t="n">
        <v>35625</v>
      </c>
      <c r="N184" s="14">
        <f>IFERROR((I184*VLOOKUP($G184,'Claude Prices'!$A$5:$G$22,3,FALSE)+J184*VLOOKUP($G184,'Claude Prices'!$A$5:$G$22,4,FALSE)+K184*VLOOKUP($G184,'Claude Prices'!$A$5:$G$22,5,FALSE)+L184*VLOOKUP($G184,'Claude Prices'!$A$5:$G$22,6,FALSE)+M184*VLOOKUP($G184,'Claude Prices'!$A$5:$G$22,7,FALSE))/1000000,0)</f>
        <v/>
      </c>
      <c r="O184" s="14">
        <f>N184*ClaudeFxRate</f>
        <v/>
      </c>
    </row>
    <row r="185">
      <c r="A185" s="26" t="n">
        <v>46167</v>
      </c>
      <c r="B185" t="inlineStr">
        <is>
          <t>ops</t>
        </is>
      </c>
      <c r="C185" t="inlineStr">
        <is>
          <t>merges, promotions &amp; deploys</t>
        </is>
      </c>
      <c r="D185" t="inlineStr"/>
      <c r="E185" t="inlineStr"/>
      <c r="F185" t="inlineStr">
        <is>
          <t>claude-haiku-4-5-20251001</t>
        </is>
      </c>
      <c r="G185" t="inlineStr">
        <is>
          <t>claude-haiku-4-5</t>
        </is>
      </c>
      <c r="H185" s="36" t="n">
        <v>1</v>
      </c>
      <c r="I185" s="36" t="n">
        <v>294</v>
      </c>
      <c r="J185" s="36" t="n">
        <v>1294</v>
      </c>
      <c r="K185" s="36" t="n">
        <v>4941</v>
      </c>
      <c r="L185" s="36" t="n">
        <v>101176</v>
      </c>
      <c r="M185" s="36" t="n">
        <v>1117</v>
      </c>
      <c r="N185" s="14">
        <f>IFERROR((I185*VLOOKUP($G185,'Claude Prices'!$A$5:$G$22,3,FALSE)+J185*VLOOKUP($G185,'Claude Prices'!$A$5:$G$22,4,FALSE)+K185*VLOOKUP($G185,'Claude Prices'!$A$5:$G$22,5,FALSE)+L185*VLOOKUP($G185,'Claude Prices'!$A$5:$G$22,6,FALSE)+M185*VLOOKUP($G185,'Claude Prices'!$A$5:$G$22,7,FALSE))/1000000,0)</f>
        <v/>
      </c>
      <c r="O185" s="14">
        <f>N185*ClaudeFxRate</f>
        <v/>
      </c>
    </row>
    <row r="186">
      <c r="A186" s="26" t="n">
        <v>46168</v>
      </c>
      <c r="B186" t="inlineStr">
        <is>
          <t>story</t>
        </is>
      </c>
      <c r="C186" t="inlineStr">
        <is>
          <t>FAL-22</t>
        </is>
      </c>
      <c r="D186" t="inlineStr">
        <is>
          <t>2.2</t>
        </is>
      </c>
      <c r="E186" t="inlineStr">
        <is>
          <t>Approve or reject</t>
        </is>
      </c>
      <c r="F186" t="inlineStr">
        <is>
          <t>claude-sonnet-5</t>
        </is>
      </c>
      <c r="G186" t="inlineStr">
        <is>
          <t>claude-sonnet-5</t>
        </is>
      </c>
      <c r="H186" s="36" t="n">
        <v>14</v>
      </c>
      <c r="I186" s="36" t="n">
        <v>2687</v>
      </c>
      <c r="J186" s="36" t="n">
        <v>35000</v>
      </c>
      <c r="K186" s="36" t="n">
        <v>143750</v>
      </c>
      <c r="L186" s="36" t="n">
        <v>2312500</v>
      </c>
      <c r="M186" s="36" t="n">
        <v>35625</v>
      </c>
      <c r="N186" s="14">
        <f>IFERROR((I186*VLOOKUP($G186,'Claude Prices'!$A$5:$G$22,3,FALSE)+J186*VLOOKUP($G186,'Claude Prices'!$A$5:$G$22,4,FALSE)+K186*VLOOKUP($G186,'Claude Prices'!$A$5:$G$22,5,FALSE)+L186*VLOOKUP($G186,'Claude Prices'!$A$5:$G$22,6,FALSE)+M186*VLOOKUP($G186,'Claude Prices'!$A$5:$G$22,7,FALSE))/1000000,0)</f>
        <v/>
      </c>
      <c r="O186" s="14">
        <f>N186*ClaudeFxRate</f>
        <v/>
      </c>
    </row>
    <row r="187">
      <c r="A187" s="26" t="n">
        <v>46168</v>
      </c>
      <c r="B187" t="inlineStr">
        <is>
          <t>ops</t>
        </is>
      </c>
      <c r="C187" t="inlineStr">
        <is>
          <t>merges, promotions &amp; deploys</t>
        </is>
      </c>
      <c r="D187" t="inlineStr"/>
      <c r="E187" t="inlineStr"/>
      <c r="F187" t="inlineStr">
        <is>
          <t>claude-haiku-4-5-20251001</t>
        </is>
      </c>
      <c r="G187" t="inlineStr">
        <is>
          <t>claude-haiku-4-5</t>
        </is>
      </c>
      <c r="H187" s="36" t="n">
        <v>1</v>
      </c>
      <c r="I187" s="36" t="n">
        <v>294</v>
      </c>
      <c r="J187" s="36" t="n">
        <v>1294</v>
      </c>
      <c r="K187" s="36" t="n">
        <v>4941</v>
      </c>
      <c r="L187" s="36" t="n">
        <v>101176</v>
      </c>
      <c r="M187" s="36" t="n">
        <v>1117</v>
      </c>
      <c r="N187" s="14">
        <f>IFERROR((I187*VLOOKUP($G187,'Claude Prices'!$A$5:$G$22,3,FALSE)+J187*VLOOKUP($G187,'Claude Prices'!$A$5:$G$22,4,FALSE)+K187*VLOOKUP($G187,'Claude Prices'!$A$5:$G$22,5,FALSE)+L187*VLOOKUP($G187,'Claude Prices'!$A$5:$G$22,6,FALSE)+M187*VLOOKUP($G187,'Claude Prices'!$A$5:$G$22,7,FALSE))/1000000,0)</f>
        <v/>
      </c>
      <c r="O187" s="14">
        <f>N187*ClaudeFxRate</f>
        <v/>
      </c>
    </row>
    <row r="188">
      <c r="A188" s="26" t="n">
        <v>46169</v>
      </c>
      <c r="B188" t="inlineStr">
        <is>
          <t>story</t>
        </is>
      </c>
      <c r="C188" t="inlineStr">
        <is>
          <t>FAL-22</t>
        </is>
      </c>
      <c r="D188" t="inlineStr">
        <is>
          <t>2.2</t>
        </is>
      </c>
      <c r="E188" t="inlineStr">
        <is>
          <t>Approve or reject</t>
        </is>
      </c>
      <c r="F188" t="inlineStr">
        <is>
          <t>claude-sonnet-5</t>
        </is>
      </c>
      <c r="G188" t="inlineStr">
        <is>
          <t>claude-sonnet-5</t>
        </is>
      </c>
      <c r="H188" s="36" t="n">
        <v>14</v>
      </c>
      <c r="I188" s="36" t="n">
        <v>2687</v>
      </c>
      <c r="J188" s="36" t="n">
        <v>35000</v>
      </c>
      <c r="K188" s="36" t="n">
        <v>143750</v>
      </c>
      <c r="L188" s="36" t="n">
        <v>2312500</v>
      </c>
      <c r="M188" s="36" t="n">
        <v>35625</v>
      </c>
      <c r="N188" s="14">
        <f>IFERROR((I188*VLOOKUP($G188,'Claude Prices'!$A$5:$G$22,3,FALSE)+J188*VLOOKUP($G188,'Claude Prices'!$A$5:$G$22,4,FALSE)+K188*VLOOKUP($G188,'Claude Prices'!$A$5:$G$22,5,FALSE)+L188*VLOOKUP($G188,'Claude Prices'!$A$5:$G$22,6,FALSE)+M188*VLOOKUP($G188,'Claude Prices'!$A$5:$G$22,7,FALSE))/1000000,0)</f>
        <v/>
      </c>
      <c r="O188" s="14">
        <f>N188*ClaudeFxRate</f>
        <v/>
      </c>
    </row>
    <row r="189">
      <c r="A189" s="26" t="n">
        <v>46169</v>
      </c>
      <c r="B189" t="inlineStr">
        <is>
          <t>ops</t>
        </is>
      </c>
      <c r="C189" t="inlineStr">
        <is>
          <t>merges, promotions &amp; deploys</t>
        </is>
      </c>
      <c r="D189" t="inlineStr"/>
      <c r="E189" t="inlineStr"/>
      <c r="F189" t="inlineStr">
        <is>
          <t>claude-haiku-4-5-20251001</t>
        </is>
      </c>
      <c r="G189" t="inlineStr">
        <is>
          <t>claude-haiku-4-5</t>
        </is>
      </c>
      <c r="H189" s="36" t="n">
        <v>1</v>
      </c>
      <c r="I189" s="36" t="n">
        <v>294</v>
      </c>
      <c r="J189" s="36" t="n">
        <v>1294</v>
      </c>
      <c r="K189" s="36" t="n">
        <v>4941</v>
      </c>
      <c r="L189" s="36" t="n">
        <v>101176</v>
      </c>
      <c r="M189" s="36" t="n">
        <v>1117</v>
      </c>
      <c r="N189" s="14">
        <f>IFERROR((I189*VLOOKUP($G189,'Claude Prices'!$A$5:$G$22,3,FALSE)+J189*VLOOKUP($G189,'Claude Prices'!$A$5:$G$22,4,FALSE)+K189*VLOOKUP($G189,'Claude Prices'!$A$5:$G$22,5,FALSE)+L189*VLOOKUP($G189,'Claude Prices'!$A$5:$G$22,6,FALSE)+M189*VLOOKUP($G189,'Claude Prices'!$A$5:$G$22,7,FALSE))/1000000,0)</f>
        <v/>
      </c>
      <c r="O189" s="14">
        <f>N189*ClaudeFxRate</f>
        <v/>
      </c>
    </row>
    <row r="190">
      <c r="A190" s="26" t="n">
        <v>46170</v>
      </c>
      <c r="B190" t="inlineStr">
        <is>
          <t>story</t>
        </is>
      </c>
      <c r="C190" t="inlineStr">
        <is>
          <t>FAL-22</t>
        </is>
      </c>
      <c r="D190" t="inlineStr">
        <is>
          <t>2.2</t>
        </is>
      </c>
      <c r="E190" t="inlineStr">
        <is>
          <t>Approve or reject</t>
        </is>
      </c>
      <c r="F190" t="inlineStr">
        <is>
          <t>claude-sonnet-5</t>
        </is>
      </c>
      <c r="G190" t="inlineStr">
        <is>
          <t>claude-sonnet-5</t>
        </is>
      </c>
      <c r="H190" s="36" t="n">
        <v>14</v>
      </c>
      <c r="I190" s="36" t="n">
        <v>2687</v>
      </c>
      <c r="J190" s="36" t="n">
        <v>35000</v>
      </c>
      <c r="K190" s="36" t="n">
        <v>143750</v>
      </c>
      <c r="L190" s="36" t="n">
        <v>2312500</v>
      </c>
      <c r="M190" s="36" t="n">
        <v>35625</v>
      </c>
      <c r="N190" s="14">
        <f>IFERROR((I190*VLOOKUP($G190,'Claude Prices'!$A$5:$G$22,3,FALSE)+J190*VLOOKUP($G190,'Claude Prices'!$A$5:$G$22,4,FALSE)+K190*VLOOKUP($G190,'Claude Prices'!$A$5:$G$22,5,FALSE)+L190*VLOOKUP($G190,'Claude Prices'!$A$5:$G$22,6,FALSE)+M190*VLOOKUP($G190,'Claude Prices'!$A$5:$G$22,7,FALSE))/1000000,0)</f>
        <v/>
      </c>
      <c r="O190" s="14">
        <f>N190*ClaudeFxRate</f>
        <v/>
      </c>
    </row>
    <row r="191">
      <c r="A191" s="26" t="n">
        <v>46170</v>
      </c>
      <c r="B191" t="inlineStr">
        <is>
          <t>ops</t>
        </is>
      </c>
      <c r="C191" t="inlineStr">
        <is>
          <t>merges, promotions &amp; deploys</t>
        </is>
      </c>
      <c r="D191" t="inlineStr"/>
      <c r="E191" t="inlineStr"/>
      <c r="F191" t="inlineStr">
        <is>
          <t>claude-haiku-4-5-20251001</t>
        </is>
      </c>
      <c r="G191" t="inlineStr">
        <is>
          <t>claude-haiku-4-5</t>
        </is>
      </c>
      <c r="H191" s="36" t="n">
        <v>1</v>
      </c>
      <c r="I191" s="36" t="n">
        <v>294</v>
      </c>
      <c r="J191" s="36" t="n">
        <v>1294</v>
      </c>
      <c r="K191" s="36" t="n">
        <v>4941</v>
      </c>
      <c r="L191" s="36" t="n">
        <v>101176</v>
      </c>
      <c r="M191" s="36" t="n">
        <v>1117</v>
      </c>
      <c r="N191" s="14">
        <f>IFERROR((I191*VLOOKUP($G191,'Claude Prices'!$A$5:$G$22,3,FALSE)+J191*VLOOKUP($G191,'Claude Prices'!$A$5:$G$22,4,FALSE)+K191*VLOOKUP($G191,'Claude Prices'!$A$5:$G$22,5,FALSE)+L191*VLOOKUP($G191,'Claude Prices'!$A$5:$G$22,6,FALSE)+M191*VLOOKUP($G191,'Claude Prices'!$A$5:$G$22,7,FALSE))/1000000,0)</f>
        <v/>
      </c>
      <c r="O191" s="14">
        <f>N191*ClaudeFxRate</f>
        <v/>
      </c>
    </row>
    <row r="192">
      <c r="A192" s="26" t="n">
        <v>46171</v>
      </c>
      <c r="B192" t="inlineStr">
        <is>
          <t>story</t>
        </is>
      </c>
      <c r="C192" t="inlineStr">
        <is>
          <t>FAL-22</t>
        </is>
      </c>
      <c r="D192" t="inlineStr">
        <is>
          <t>2.2</t>
        </is>
      </c>
      <c r="E192" t="inlineStr">
        <is>
          <t>Approve or reject</t>
        </is>
      </c>
      <c r="F192" t="inlineStr">
        <is>
          <t>claude-sonnet-5</t>
        </is>
      </c>
      <c r="G192" t="inlineStr">
        <is>
          <t>claude-sonnet-5</t>
        </is>
      </c>
      <c r="H192" s="36" t="n">
        <v>14</v>
      </c>
      <c r="I192" s="36" t="n">
        <v>2687</v>
      </c>
      <c r="J192" s="36" t="n">
        <v>35000</v>
      </c>
      <c r="K192" s="36" t="n">
        <v>143750</v>
      </c>
      <c r="L192" s="36" t="n">
        <v>2312500</v>
      </c>
      <c r="M192" s="36" t="n">
        <v>35625</v>
      </c>
      <c r="N192" s="14">
        <f>IFERROR((I192*VLOOKUP($G192,'Claude Prices'!$A$5:$G$22,3,FALSE)+J192*VLOOKUP($G192,'Claude Prices'!$A$5:$G$22,4,FALSE)+K192*VLOOKUP($G192,'Claude Prices'!$A$5:$G$22,5,FALSE)+L192*VLOOKUP($G192,'Claude Prices'!$A$5:$G$22,6,FALSE)+M192*VLOOKUP($G192,'Claude Prices'!$A$5:$G$22,7,FALSE))/1000000,0)</f>
        <v/>
      </c>
      <c r="O192" s="14">
        <f>N192*ClaudeFxRate</f>
        <v/>
      </c>
    </row>
    <row r="193">
      <c r="A193" s="26" t="n">
        <v>46171</v>
      </c>
      <c r="B193" t="inlineStr">
        <is>
          <t>ops</t>
        </is>
      </c>
      <c r="C193" t="inlineStr">
        <is>
          <t>merges, promotions &amp; deploys</t>
        </is>
      </c>
      <c r="D193" t="inlineStr"/>
      <c r="E193" t="inlineStr"/>
      <c r="F193" t="inlineStr">
        <is>
          <t>claude-haiku-4-5-20251001</t>
        </is>
      </c>
      <c r="G193" t="inlineStr">
        <is>
          <t>claude-haiku-4-5</t>
        </is>
      </c>
      <c r="H193" s="36" t="n">
        <v>1</v>
      </c>
      <c r="I193" s="36" t="n">
        <v>294</v>
      </c>
      <c r="J193" s="36" t="n">
        <v>1294</v>
      </c>
      <c r="K193" s="36" t="n">
        <v>4941</v>
      </c>
      <c r="L193" s="36" t="n">
        <v>101176</v>
      </c>
      <c r="M193" s="36" t="n">
        <v>1117</v>
      </c>
      <c r="N193" s="14">
        <f>IFERROR((I193*VLOOKUP($G193,'Claude Prices'!$A$5:$G$22,3,FALSE)+J193*VLOOKUP($G193,'Claude Prices'!$A$5:$G$22,4,FALSE)+K193*VLOOKUP($G193,'Claude Prices'!$A$5:$G$22,5,FALSE)+L193*VLOOKUP($G193,'Claude Prices'!$A$5:$G$22,6,FALSE)+M193*VLOOKUP($G193,'Claude Prices'!$A$5:$G$22,7,FALSE))/1000000,0)</f>
        <v/>
      </c>
      <c r="O193" s="14">
        <f>N193*ClaudeFxRate</f>
        <v/>
      </c>
    </row>
    <row r="194">
      <c r="A194" s="26" t="n">
        <v>46174</v>
      </c>
      <c r="B194" t="inlineStr">
        <is>
          <t>story</t>
        </is>
      </c>
      <c r="C194" t="inlineStr">
        <is>
          <t>FAL-22</t>
        </is>
      </c>
      <c r="D194" t="inlineStr">
        <is>
          <t>2.2</t>
        </is>
      </c>
      <c r="E194" t="inlineStr">
        <is>
          <t>Approve or reject</t>
        </is>
      </c>
      <c r="F194" t="inlineStr">
        <is>
          <t>claude-sonnet-5</t>
        </is>
      </c>
      <c r="G194" t="inlineStr">
        <is>
          <t>claude-sonnet-5</t>
        </is>
      </c>
      <c r="H194" s="36" t="n">
        <v>14</v>
      </c>
      <c r="I194" s="36" t="n">
        <v>2687</v>
      </c>
      <c r="J194" s="36" t="n">
        <v>35000</v>
      </c>
      <c r="K194" s="36" t="n">
        <v>143750</v>
      </c>
      <c r="L194" s="36" t="n">
        <v>2312500</v>
      </c>
      <c r="M194" s="36" t="n">
        <v>35625</v>
      </c>
      <c r="N194" s="14">
        <f>IFERROR((I194*VLOOKUP($G194,'Claude Prices'!$A$5:$G$22,3,FALSE)+J194*VLOOKUP($G194,'Claude Prices'!$A$5:$G$22,4,FALSE)+K194*VLOOKUP($G194,'Claude Prices'!$A$5:$G$22,5,FALSE)+L194*VLOOKUP($G194,'Claude Prices'!$A$5:$G$22,6,FALSE)+M194*VLOOKUP($G194,'Claude Prices'!$A$5:$G$22,7,FALSE))/1000000,0)</f>
        <v/>
      </c>
      <c r="O194" s="14">
        <f>N194*ClaudeFxRate</f>
        <v/>
      </c>
    </row>
    <row r="195">
      <c r="A195" s="26" t="n">
        <v>46174</v>
      </c>
      <c r="B195" t="inlineStr">
        <is>
          <t>ops</t>
        </is>
      </c>
      <c r="C195" t="inlineStr">
        <is>
          <t>merges, promotions &amp; deploys</t>
        </is>
      </c>
      <c r="D195" t="inlineStr"/>
      <c r="E195" t="inlineStr"/>
      <c r="F195" t="inlineStr">
        <is>
          <t>claude-haiku-4-5-20251001</t>
        </is>
      </c>
      <c r="G195" t="inlineStr">
        <is>
          <t>claude-haiku-4-5</t>
        </is>
      </c>
      <c r="H195" s="36" t="n">
        <v>1</v>
      </c>
      <c r="I195" s="36" t="n">
        <v>294</v>
      </c>
      <c r="J195" s="36" t="n">
        <v>1294</v>
      </c>
      <c r="K195" s="36" t="n">
        <v>4941</v>
      </c>
      <c r="L195" s="36" t="n">
        <v>101176</v>
      </c>
      <c r="M195" s="36" t="n">
        <v>1117</v>
      </c>
      <c r="N195" s="14">
        <f>IFERROR((I195*VLOOKUP($G195,'Claude Prices'!$A$5:$G$22,3,FALSE)+J195*VLOOKUP($G195,'Claude Prices'!$A$5:$G$22,4,FALSE)+K195*VLOOKUP($G195,'Claude Prices'!$A$5:$G$22,5,FALSE)+L195*VLOOKUP($G195,'Claude Prices'!$A$5:$G$22,6,FALSE)+M195*VLOOKUP($G195,'Claude Prices'!$A$5:$G$22,7,FALSE))/1000000,0)</f>
        <v/>
      </c>
      <c r="O195" s="14">
        <f>N195*ClaudeFxRate</f>
        <v/>
      </c>
    </row>
    <row r="196">
      <c r="A196" s="26" t="n">
        <v>46175</v>
      </c>
      <c r="B196" t="inlineStr">
        <is>
          <t>story</t>
        </is>
      </c>
      <c r="C196" t="inlineStr">
        <is>
          <t>FAL-22</t>
        </is>
      </c>
      <c r="D196" t="inlineStr">
        <is>
          <t>2.2</t>
        </is>
      </c>
      <c r="E196" t="inlineStr">
        <is>
          <t>Approve or reject</t>
        </is>
      </c>
      <c r="F196" t="inlineStr">
        <is>
          <t>claude-sonnet-5</t>
        </is>
      </c>
      <c r="G196" t="inlineStr">
        <is>
          <t>claude-sonnet-5</t>
        </is>
      </c>
      <c r="H196" s="36" t="n">
        <v>14</v>
      </c>
      <c r="I196" s="36" t="n">
        <v>2687</v>
      </c>
      <c r="J196" s="36" t="n">
        <v>35000</v>
      </c>
      <c r="K196" s="36" t="n">
        <v>143750</v>
      </c>
      <c r="L196" s="36" t="n">
        <v>2312500</v>
      </c>
      <c r="M196" s="36" t="n">
        <v>35625</v>
      </c>
      <c r="N196" s="14">
        <f>IFERROR((I196*VLOOKUP($G196,'Claude Prices'!$A$5:$G$22,3,FALSE)+J196*VLOOKUP($G196,'Claude Prices'!$A$5:$G$22,4,FALSE)+K196*VLOOKUP($G196,'Claude Prices'!$A$5:$G$22,5,FALSE)+L196*VLOOKUP($G196,'Claude Prices'!$A$5:$G$22,6,FALSE)+M196*VLOOKUP($G196,'Claude Prices'!$A$5:$G$22,7,FALSE))/1000000,0)</f>
        <v/>
      </c>
      <c r="O196" s="14">
        <f>N196*ClaudeFxRate</f>
        <v/>
      </c>
    </row>
    <row r="197">
      <c r="A197" s="26" t="n">
        <v>46175</v>
      </c>
      <c r="B197" t="inlineStr">
        <is>
          <t>ops</t>
        </is>
      </c>
      <c r="C197" t="inlineStr">
        <is>
          <t>merges, promotions &amp; deploys</t>
        </is>
      </c>
      <c r="D197" t="inlineStr"/>
      <c r="E197" t="inlineStr"/>
      <c r="F197" t="inlineStr">
        <is>
          <t>claude-haiku-4-5-20251001</t>
        </is>
      </c>
      <c r="G197" t="inlineStr">
        <is>
          <t>claude-haiku-4-5</t>
        </is>
      </c>
      <c r="H197" s="36" t="n">
        <v>1</v>
      </c>
      <c r="I197" s="36" t="n">
        <v>294</v>
      </c>
      <c r="J197" s="36" t="n">
        <v>1294</v>
      </c>
      <c r="K197" s="36" t="n">
        <v>4941</v>
      </c>
      <c r="L197" s="36" t="n">
        <v>101176</v>
      </c>
      <c r="M197" s="36" t="n">
        <v>1117</v>
      </c>
      <c r="N197" s="14">
        <f>IFERROR((I197*VLOOKUP($G197,'Claude Prices'!$A$5:$G$22,3,FALSE)+J197*VLOOKUP($G197,'Claude Prices'!$A$5:$G$22,4,FALSE)+K197*VLOOKUP($G197,'Claude Prices'!$A$5:$G$22,5,FALSE)+L197*VLOOKUP($G197,'Claude Prices'!$A$5:$G$22,6,FALSE)+M197*VLOOKUP($G197,'Claude Prices'!$A$5:$G$22,7,FALSE))/1000000,0)</f>
        <v/>
      </c>
      <c r="O197" s="14">
        <f>N197*ClaudeFxRate</f>
        <v/>
      </c>
    </row>
    <row r="198">
      <c r="A198" s="26" t="n">
        <v>46176</v>
      </c>
      <c r="B198" t="inlineStr">
        <is>
          <t>story</t>
        </is>
      </c>
      <c r="C198" t="inlineStr">
        <is>
          <t>FAL-22</t>
        </is>
      </c>
      <c r="D198" t="inlineStr">
        <is>
          <t>2.2</t>
        </is>
      </c>
      <c r="E198" t="inlineStr">
        <is>
          <t>Approve or reject</t>
        </is>
      </c>
      <c r="F198" t="inlineStr">
        <is>
          <t>claude-sonnet-5</t>
        </is>
      </c>
      <c r="G198" t="inlineStr">
        <is>
          <t>claude-sonnet-5</t>
        </is>
      </c>
      <c r="H198" s="36" t="n">
        <v>21</v>
      </c>
      <c r="I198" s="36" t="n">
        <v>2695</v>
      </c>
      <c r="J198" s="36" t="n">
        <v>35000</v>
      </c>
      <c r="K198" s="36" t="n">
        <v>143750</v>
      </c>
      <c r="L198" s="36" t="n">
        <v>2312500</v>
      </c>
      <c r="M198" s="36" t="n">
        <v>35625</v>
      </c>
      <c r="N198" s="14">
        <f>IFERROR((I198*VLOOKUP($G198,'Claude Prices'!$A$5:$G$22,3,FALSE)+J198*VLOOKUP($G198,'Claude Prices'!$A$5:$G$22,4,FALSE)+K198*VLOOKUP($G198,'Claude Prices'!$A$5:$G$22,5,FALSE)+L198*VLOOKUP($G198,'Claude Prices'!$A$5:$G$22,6,FALSE)+M198*VLOOKUP($G198,'Claude Prices'!$A$5:$G$22,7,FALSE))/1000000,0)</f>
        <v/>
      </c>
      <c r="O198" s="14">
        <f>N198*ClaudeFxRate</f>
        <v/>
      </c>
    </row>
    <row r="199">
      <c r="A199" s="26" t="n">
        <v>46176</v>
      </c>
      <c r="B199" t="inlineStr">
        <is>
          <t>ops</t>
        </is>
      </c>
      <c r="C199" t="inlineStr">
        <is>
          <t>merges, promotions &amp; deploys</t>
        </is>
      </c>
      <c r="D199" t="inlineStr"/>
      <c r="E199" t="inlineStr"/>
      <c r="F199" t="inlineStr">
        <is>
          <t>claude-haiku-4-5-20251001</t>
        </is>
      </c>
      <c r="G199" t="inlineStr">
        <is>
          <t>claude-haiku-4-5</t>
        </is>
      </c>
      <c r="H199" s="36" t="n">
        <v>1</v>
      </c>
      <c r="I199" s="36" t="n">
        <v>294</v>
      </c>
      <c r="J199" s="36" t="n">
        <v>1294</v>
      </c>
      <c r="K199" s="36" t="n">
        <v>4941</v>
      </c>
      <c r="L199" s="36" t="n">
        <v>101176</v>
      </c>
      <c r="M199" s="36" t="n">
        <v>1117</v>
      </c>
      <c r="N199" s="14">
        <f>IFERROR((I199*VLOOKUP($G199,'Claude Prices'!$A$5:$G$22,3,FALSE)+J199*VLOOKUP($G199,'Claude Prices'!$A$5:$G$22,4,FALSE)+K199*VLOOKUP($G199,'Claude Prices'!$A$5:$G$22,5,FALSE)+L199*VLOOKUP($G199,'Claude Prices'!$A$5:$G$22,6,FALSE)+M199*VLOOKUP($G199,'Claude Prices'!$A$5:$G$22,7,FALSE))/1000000,0)</f>
        <v/>
      </c>
      <c r="O199" s="14">
        <f>N199*ClaudeFxRate</f>
        <v/>
      </c>
    </row>
    <row r="200">
      <c r="A200" s="26" t="n">
        <v>46177</v>
      </c>
      <c r="B200" t="inlineStr">
        <is>
          <t>story</t>
        </is>
      </c>
      <c r="C200" t="inlineStr">
        <is>
          <t>FAL-23</t>
        </is>
      </c>
      <c r="D200" t="inlineStr">
        <is>
          <t>2.3</t>
        </is>
      </c>
      <c r="E200" t="inlineStr">
        <is>
          <t>Notify the customer</t>
        </is>
      </c>
      <c r="F200" t="inlineStr">
        <is>
          <t>claude-sonnet-5</t>
        </is>
      </c>
      <c r="G200" t="inlineStr">
        <is>
          <t>claude-sonnet-5</t>
        </is>
      </c>
      <c r="H200" s="36" t="n">
        <v>10</v>
      </c>
      <c r="I200" s="36" t="n">
        <v>1882</v>
      </c>
      <c r="J200" s="36" t="n">
        <v>24705</v>
      </c>
      <c r="K200" s="36" t="n">
        <v>100000</v>
      </c>
      <c r="L200" s="36" t="n">
        <v>1635294</v>
      </c>
      <c r="M200" s="36" t="n">
        <v>25294</v>
      </c>
      <c r="N200" s="14">
        <f>IFERROR((I200*VLOOKUP($G200,'Claude Prices'!$A$5:$G$22,3,FALSE)+J200*VLOOKUP($G200,'Claude Prices'!$A$5:$G$22,4,FALSE)+K200*VLOOKUP($G200,'Claude Prices'!$A$5:$G$22,5,FALSE)+L200*VLOOKUP($G200,'Claude Prices'!$A$5:$G$22,6,FALSE)+M200*VLOOKUP($G200,'Claude Prices'!$A$5:$G$22,7,FALSE))/1000000,0)</f>
        <v/>
      </c>
      <c r="O200" s="14">
        <f>N200*ClaudeFxRate</f>
        <v/>
      </c>
    </row>
    <row r="201">
      <c r="A201" s="26" t="n">
        <v>46177</v>
      </c>
      <c r="B201" t="inlineStr">
        <is>
          <t>ops</t>
        </is>
      </c>
      <c r="C201" t="inlineStr">
        <is>
          <t>merges, promotions &amp; deploys</t>
        </is>
      </c>
      <c r="D201" t="inlineStr"/>
      <c r="E201" t="inlineStr"/>
      <c r="F201" t="inlineStr">
        <is>
          <t>claude-haiku-4-5-20251001</t>
        </is>
      </c>
      <c r="G201" t="inlineStr">
        <is>
          <t>claude-haiku-4-5</t>
        </is>
      </c>
      <c r="H201" s="36" t="n">
        <v>1</v>
      </c>
      <c r="I201" s="36" t="n">
        <v>294</v>
      </c>
      <c r="J201" s="36" t="n">
        <v>1294</v>
      </c>
      <c r="K201" s="36" t="n">
        <v>4941</v>
      </c>
      <c r="L201" s="36" t="n">
        <v>101176</v>
      </c>
      <c r="M201" s="36" t="n">
        <v>1117</v>
      </c>
      <c r="N201" s="14">
        <f>IFERROR((I201*VLOOKUP($G201,'Claude Prices'!$A$5:$G$22,3,FALSE)+J201*VLOOKUP($G201,'Claude Prices'!$A$5:$G$22,4,FALSE)+K201*VLOOKUP($G201,'Claude Prices'!$A$5:$G$22,5,FALSE)+L201*VLOOKUP($G201,'Claude Prices'!$A$5:$G$22,6,FALSE)+M201*VLOOKUP($G201,'Claude Prices'!$A$5:$G$22,7,FALSE))/1000000,0)</f>
        <v/>
      </c>
      <c r="O201" s="14">
        <f>N201*ClaudeFxRate</f>
        <v/>
      </c>
    </row>
    <row r="202">
      <c r="A202" s="26" t="n">
        <v>46178</v>
      </c>
      <c r="B202" t="inlineStr">
        <is>
          <t>story</t>
        </is>
      </c>
      <c r="C202" t="inlineStr">
        <is>
          <t>FAL-23</t>
        </is>
      </c>
      <c r="D202" t="inlineStr">
        <is>
          <t>2.3</t>
        </is>
      </c>
      <c r="E202" t="inlineStr">
        <is>
          <t>Notify the customer</t>
        </is>
      </c>
      <c r="F202" t="inlineStr">
        <is>
          <t>claude-sonnet-5</t>
        </is>
      </c>
      <c r="G202" t="inlineStr">
        <is>
          <t>claude-sonnet-5</t>
        </is>
      </c>
      <c r="H202" s="36" t="n">
        <v>10</v>
      </c>
      <c r="I202" s="36" t="n">
        <v>1882</v>
      </c>
      <c r="J202" s="36" t="n">
        <v>24705</v>
      </c>
      <c r="K202" s="36" t="n">
        <v>100000</v>
      </c>
      <c r="L202" s="36" t="n">
        <v>1635294</v>
      </c>
      <c r="M202" s="36" t="n">
        <v>25294</v>
      </c>
      <c r="N202" s="14">
        <f>IFERROR((I202*VLOOKUP($G202,'Claude Prices'!$A$5:$G$22,3,FALSE)+J202*VLOOKUP($G202,'Claude Prices'!$A$5:$G$22,4,FALSE)+K202*VLOOKUP($G202,'Claude Prices'!$A$5:$G$22,5,FALSE)+L202*VLOOKUP($G202,'Claude Prices'!$A$5:$G$22,6,FALSE)+M202*VLOOKUP($G202,'Claude Prices'!$A$5:$G$22,7,FALSE))/1000000,0)</f>
        <v/>
      </c>
      <c r="O202" s="14">
        <f>N202*ClaudeFxRate</f>
        <v/>
      </c>
    </row>
    <row r="203">
      <c r="A203" s="26" t="n">
        <v>46178</v>
      </c>
      <c r="B203" t="inlineStr">
        <is>
          <t>ops</t>
        </is>
      </c>
      <c r="C203" t="inlineStr">
        <is>
          <t>merges, promotions &amp; deploys</t>
        </is>
      </c>
      <c r="D203" t="inlineStr"/>
      <c r="E203" t="inlineStr"/>
      <c r="F203" t="inlineStr">
        <is>
          <t>claude-haiku-4-5-20251001</t>
        </is>
      </c>
      <c r="G203" t="inlineStr">
        <is>
          <t>claude-haiku-4-5</t>
        </is>
      </c>
      <c r="H203" s="36" t="n">
        <v>1</v>
      </c>
      <c r="I203" s="36" t="n">
        <v>294</v>
      </c>
      <c r="J203" s="36" t="n">
        <v>1294</v>
      </c>
      <c r="K203" s="36" t="n">
        <v>4941</v>
      </c>
      <c r="L203" s="36" t="n">
        <v>101176</v>
      </c>
      <c r="M203" s="36" t="n">
        <v>1117</v>
      </c>
      <c r="N203" s="14">
        <f>IFERROR((I203*VLOOKUP($G203,'Claude Prices'!$A$5:$G$22,3,FALSE)+J203*VLOOKUP($G203,'Claude Prices'!$A$5:$G$22,4,FALSE)+K203*VLOOKUP($G203,'Claude Prices'!$A$5:$G$22,5,FALSE)+L203*VLOOKUP($G203,'Claude Prices'!$A$5:$G$22,6,FALSE)+M203*VLOOKUP($G203,'Claude Prices'!$A$5:$G$22,7,FALSE))/1000000,0)</f>
        <v/>
      </c>
      <c r="O203" s="14">
        <f>N203*ClaudeFxRate</f>
        <v/>
      </c>
    </row>
    <row r="204">
      <c r="A204" s="26" t="n">
        <v>46181</v>
      </c>
      <c r="B204" t="inlineStr">
        <is>
          <t>story</t>
        </is>
      </c>
      <c r="C204" t="inlineStr">
        <is>
          <t>FAL-23</t>
        </is>
      </c>
      <c r="D204" t="inlineStr">
        <is>
          <t>2.3</t>
        </is>
      </c>
      <c r="E204" t="inlineStr">
        <is>
          <t>Notify the customer</t>
        </is>
      </c>
      <c r="F204" t="inlineStr">
        <is>
          <t>claude-sonnet-5</t>
        </is>
      </c>
      <c r="G204" t="inlineStr">
        <is>
          <t>claude-sonnet-5</t>
        </is>
      </c>
      <c r="H204" s="36" t="n">
        <v>10</v>
      </c>
      <c r="I204" s="36" t="n">
        <v>1882</v>
      </c>
      <c r="J204" s="36" t="n">
        <v>24705</v>
      </c>
      <c r="K204" s="36" t="n">
        <v>100000</v>
      </c>
      <c r="L204" s="36" t="n">
        <v>1635294</v>
      </c>
      <c r="M204" s="36" t="n">
        <v>25294</v>
      </c>
      <c r="N204" s="14">
        <f>IFERROR((I204*VLOOKUP($G204,'Claude Prices'!$A$5:$G$22,3,FALSE)+J204*VLOOKUP($G204,'Claude Prices'!$A$5:$G$22,4,FALSE)+K204*VLOOKUP($G204,'Claude Prices'!$A$5:$G$22,5,FALSE)+L204*VLOOKUP($G204,'Claude Prices'!$A$5:$G$22,6,FALSE)+M204*VLOOKUP($G204,'Claude Prices'!$A$5:$G$22,7,FALSE))/1000000,0)</f>
        <v/>
      </c>
      <c r="O204" s="14">
        <f>N204*ClaudeFxRate</f>
        <v/>
      </c>
    </row>
    <row r="205">
      <c r="A205" s="26" t="n">
        <v>46181</v>
      </c>
      <c r="B205" t="inlineStr">
        <is>
          <t>ops</t>
        </is>
      </c>
      <c r="C205" t="inlineStr">
        <is>
          <t>merges, promotions &amp; deploys</t>
        </is>
      </c>
      <c r="D205" t="inlineStr"/>
      <c r="E205" t="inlineStr"/>
      <c r="F205" t="inlineStr">
        <is>
          <t>claude-haiku-4-5-20251001</t>
        </is>
      </c>
      <c r="G205" t="inlineStr">
        <is>
          <t>claude-haiku-4-5</t>
        </is>
      </c>
      <c r="H205" s="36" t="n">
        <v>1</v>
      </c>
      <c r="I205" s="36" t="n">
        <v>294</v>
      </c>
      <c r="J205" s="36" t="n">
        <v>1294</v>
      </c>
      <c r="K205" s="36" t="n">
        <v>4941</v>
      </c>
      <c r="L205" s="36" t="n">
        <v>101176</v>
      </c>
      <c r="M205" s="36" t="n">
        <v>1117</v>
      </c>
      <c r="N205" s="14">
        <f>IFERROR((I205*VLOOKUP($G205,'Claude Prices'!$A$5:$G$22,3,FALSE)+J205*VLOOKUP($G205,'Claude Prices'!$A$5:$G$22,4,FALSE)+K205*VLOOKUP($G205,'Claude Prices'!$A$5:$G$22,5,FALSE)+L205*VLOOKUP($G205,'Claude Prices'!$A$5:$G$22,6,FALSE)+M205*VLOOKUP($G205,'Claude Prices'!$A$5:$G$22,7,FALSE))/1000000,0)</f>
        <v/>
      </c>
      <c r="O205" s="14">
        <f>N205*ClaudeFxRate</f>
        <v/>
      </c>
    </row>
    <row r="206">
      <c r="A206" s="26" t="n">
        <v>46182</v>
      </c>
      <c r="B206" t="inlineStr">
        <is>
          <t>story</t>
        </is>
      </c>
      <c r="C206" t="inlineStr">
        <is>
          <t>FAL-23</t>
        </is>
      </c>
      <c r="D206" t="inlineStr">
        <is>
          <t>2.3</t>
        </is>
      </c>
      <c r="E206" t="inlineStr">
        <is>
          <t>Notify the customer</t>
        </is>
      </c>
      <c r="F206" t="inlineStr">
        <is>
          <t>claude-sonnet-5</t>
        </is>
      </c>
      <c r="G206" t="inlineStr">
        <is>
          <t>claude-sonnet-5</t>
        </is>
      </c>
      <c r="H206" s="36" t="n">
        <v>10</v>
      </c>
      <c r="I206" s="36" t="n">
        <v>1882</v>
      </c>
      <c r="J206" s="36" t="n">
        <v>24705</v>
      </c>
      <c r="K206" s="36" t="n">
        <v>100000</v>
      </c>
      <c r="L206" s="36" t="n">
        <v>1635294</v>
      </c>
      <c r="M206" s="36" t="n">
        <v>25294</v>
      </c>
      <c r="N206" s="14">
        <f>IFERROR((I206*VLOOKUP($G206,'Claude Prices'!$A$5:$G$22,3,FALSE)+J206*VLOOKUP($G206,'Claude Prices'!$A$5:$G$22,4,FALSE)+K206*VLOOKUP($G206,'Claude Prices'!$A$5:$G$22,5,FALSE)+L206*VLOOKUP($G206,'Claude Prices'!$A$5:$G$22,6,FALSE)+M206*VLOOKUP($G206,'Claude Prices'!$A$5:$G$22,7,FALSE))/1000000,0)</f>
        <v/>
      </c>
      <c r="O206" s="14">
        <f>N206*ClaudeFxRate</f>
        <v/>
      </c>
    </row>
    <row r="207">
      <c r="A207" s="26" t="n">
        <v>46182</v>
      </c>
      <c r="B207" t="inlineStr">
        <is>
          <t>ops</t>
        </is>
      </c>
      <c r="C207" t="inlineStr">
        <is>
          <t>merges, promotions &amp; deploys</t>
        </is>
      </c>
      <c r="D207" t="inlineStr"/>
      <c r="E207" t="inlineStr"/>
      <c r="F207" t="inlineStr">
        <is>
          <t>claude-haiku-4-5-20251001</t>
        </is>
      </c>
      <c r="G207" t="inlineStr">
        <is>
          <t>claude-haiku-4-5</t>
        </is>
      </c>
      <c r="H207" s="36" t="n">
        <v>1</v>
      </c>
      <c r="I207" s="36" t="n">
        <v>294</v>
      </c>
      <c r="J207" s="36" t="n">
        <v>1294</v>
      </c>
      <c r="K207" s="36" t="n">
        <v>4941</v>
      </c>
      <c r="L207" s="36" t="n">
        <v>101176</v>
      </c>
      <c r="M207" s="36" t="n">
        <v>1117</v>
      </c>
      <c r="N207" s="14">
        <f>IFERROR((I207*VLOOKUP($G207,'Claude Prices'!$A$5:$G$22,3,FALSE)+J207*VLOOKUP($G207,'Claude Prices'!$A$5:$G$22,4,FALSE)+K207*VLOOKUP($G207,'Claude Prices'!$A$5:$G$22,5,FALSE)+L207*VLOOKUP($G207,'Claude Prices'!$A$5:$G$22,6,FALSE)+M207*VLOOKUP($G207,'Claude Prices'!$A$5:$G$22,7,FALSE))/1000000,0)</f>
        <v/>
      </c>
      <c r="O207" s="14">
        <f>N207*ClaudeFxRate</f>
        <v/>
      </c>
    </row>
    <row r="208">
      <c r="A208" s="26" t="n">
        <v>46183</v>
      </c>
      <c r="B208" t="inlineStr">
        <is>
          <t>story</t>
        </is>
      </c>
      <c r="C208" t="inlineStr">
        <is>
          <t>FAL-23</t>
        </is>
      </c>
      <c r="D208" t="inlineStr">
        <is>
          <t>2.3</t>
        </is>
      </c>
      <c r="E208" t="inlineStr">
        <is>
          <t>Notify the customer</t>
        </is>
      </c>
      <c r="F208" t="inlineStr">
        <is>
          <t>claude-sonnet-5</t>
        </is>
      </c>
      <c r="G208" t="inlineStr">
        <is>
          <t>claude-sonnet-5</t>
        </is>
      </c>
      <c r="H208" s="36" t="n">
        <v>10</v>
      </c>
      <c r="I208" s="36" t="n">
        <v>1882</v>
      </c>
      <c r="J208" s="36" t="n">
        <v>24705</v>
      </c>
      <c r="K208" s="36" t="n">
        <v>100000</v>
      </c>
      <c r="L208" s="36" t="n">
        <v>1635294</v>
      </c>
      <c r="M208" s="36" t="n">
        <v>25294</v>
      </c>
      <c r="N208" s="14">
        <f>IFERROR((I208*VLOOKUP($G208,'Claude Prices'!$A$5:$G$22,3,FALSE)+J208*VLOOKUP($G208,'Claude Prices'!$A$5:$G$22,4,FALSE)+K208*VLOOKUP($G208,'Claude Prices'!$A$5:$G$22,5,FALSE)+L208*VLOOKUP($G208,'Claude Prices'!$A$5:$G$22,6,FALSE)+M208*VLOOKUP($G208,'Claude Prices'!$A$5:$G$22,7,FALSE))/1000000,0)</f>
        <v/>
      </c>
      <c r="O208" s="14">
        <f>N208*ClaudeFxRate</f>
        <v/>
      </c>
    </row>
    <row r="209">
      <c r="A209" s="26" t="n">
        <v>46183</v>
      </c>
      <c r="B209" t="inlineStr">
        <is>
          <t>ops</t>
        </is>
      </c>
      <c r="C209" t="inlineStr">
        <is>
          <t>merges, promotions &amp; deploys</t>
        </is>
      </c>
      <c r="D209" t="inlineStr"/>
      <c r="E209" t="inlineStr"/>
      <c r="F209" t="inlineStr">
        <is>
          <t>claude-haiku-4-5-20251001</t>
        </is>
      </c>
      <c r="G209" t="inlineStr">
        <is>
          <t>claude-haiku-4-5</t>
        </is>
      </c>
      <c r="H209" s="36" t="n">
        <v>1</v>
      </c>
      <c r="I209" s="36" t="n">
        <v>294</v>
      </c>
      <c r="J209" s="36" t="n">
        <v>1294</v>
      </c>
      <c r="K209" s="36" t="n">
        <v>4941</v>
      </c>
      <c r="L209" s="36" t="n">
        <v>101176</v>
      </c>
      <c r="M209" s="36" t="n">
        <v>1117</v>
      </c>
      <c r="N209" s="14">
        <f>IFERROR((I209*VLOOKUP($G209,'Claude Prices'!$A$5:$G$22,3,FALSE)+J209*VLOOKUP($G209,'Claude Prices'!$A$5:$G$22,4,FALSE)+K209*VLOOKUP($G209,'Claude Prices'!$A$5:$G$22,5,FALSE)+L209*VLOOKUP($G209,'Claude Prices'!$A$5:$G$22,6,FALSE)+M209*VLOOKUP($G209,'Claude Prices'!$A$5:$G$22,7,FALSE))/1000000,0)</f>
        <v/>
      </c>
      <c r="O209" s="14">
        <f>N209*ClaudeFxRate</f>
        <v/>
      </c>
    </row>
    <row r="210">
      <c r="A210" s="26" t="n">
        <v>46184</v>
      </c>
      <c r="B210" t="inlineStr">
        <is>
          <t>story</t>
        </is>
      </c>
      <c r="C210" t="inlineStr">
        <is>
          <t>FAL-23</t>
        </is>
      </c>
      <c r="D210" t="inlineStr">
        <is>
          <t>2.3</t>
        </is>
      </c>
      <c r="E210" t="inlineStr">
        <is>
          <t>Notify the customer</t>
        </is>
      </c>
      <c r="F210" t="inlineStr">
        <is>
          <t>claude-sonnet-5</t>
        </is>
      </c>
      <c r="G210" t="inlineStr">
        <is>
          <t>claude-sonnet-5</t>
        </is>
      </c>
      <c r="H210" s="36" t="n">
        <v>10</v>
      </c>
      <c r="I210" s="36" t="n">
        <v>1882</v>
      </c>
      <c r="J210" s="36" t="n">
        <v>24705</v>
      </c>
      <c r="K210" s="36" t="n">
        <v>100000</v>
      </c>
      <c r="L210" s="36" t="n">
        <v>1635294</v>
      </c>
      <c r="M210" s="36" t="n">
        <v>25294</v>
      </c>
      <c r="N210" s="14">
        <f>IFERROR((I210*VLOOKUP($G210,'Claude Prices'!$A$5:$G$22,3,FALSE)+J210*VLOOKUP($G210,'Claude Prices'!$A$5:$G$22,4,FALSE)+K210*VLOOKUP($G210,'Claude Prices'!$A$5:$G$22,5,FALSE)+L210*VLOOKUP($G210,'Claude Prices'!$A$5:$G$22,6,FALSE)+M210*VLOOKUP($G210,'Claude Prices'!$A$5:$G$22,7,FALSE))/1000000,0)</f>
        <v/>
      </c>
      <c r="O210" s="14">
        <f>N210*ClaudeFxRate</f>
        <v/>
      </c>
    </row>
    <row r="211">
      <c r="A211" s="26" t="n">
        <v>46184</v>
      </c>
      <c r="B211" t="inlineStr">
        <is>
          <t>ops</t>
        </is>
      </c>
      <c r="C211" t="inlineStr">
        <is>
          <t>merges, promotions &amp; deploys</t>
        </is>
      </c>
      <c r="D211" t="inlineStr"/>
      <c r="E211" t="inlineStr"/>
      <c r="F211" t="inlineStr">
        <is>
          <t>claude-haiku-4-5-20251001</t>
        </is>
      </c>
      <c r="G211" t="inlineStr">
        <is>
          <t>claude-haiku-4-5</t>
        </is>
      </c>
      <c r="H211" s="36" t="n">
        <v>1</v>
      </c>
      <c r="I211" s="36" t="n">
        <v>294</v>
      </c>
      <c r="J211" s="36" t="n">
        <v>1294</v>
      </c>
      <c r="K211" s="36" t="n">
        <v>4941</v>
      </c>
      <c r="L211" s="36" t="n">
        <v>101176</v>
      </c>
      <c r="M211" s="36" t="n">
        <v>1117</v>
      </c>
      <c r="N211" s="14">
        <f>IFERROR((I211*VLOOKUP($G211,'Claude Prices'!$A$5:$G$22,3,FALSE)+J211*VLOOKUP($G211,'Claude Prices'!$A$5:$G$22,4,FALSE)+K211*VLOOKUP($G211,'Claude Prices'!$A$5:$G$22,5,FALSE)+L211*VLOOKUP($G211,'Claude Prices'!$A$5:$G$22,6,FALSE)+M211*VLOOKUP($G211,'Claude Prices'!$A$5:$G$22,7,FALSE))/1000000,0)</f>
        <v/>
      </c>
      <c r="O211" s="14">
        <f>N211*ClaudeFxRate</f>
        <v/>
      </c>
    </row>
    <row r="212">
      <c r="A212" s="26" t="n">
        <v>46185</v>
      </c>
      <c r="B212" t="inlineStr">
        <is>
          <t>story</t>
        </is>
      </c>
      <c r="C212" t="inlineStr">
        <is>
          <t>FAL-23</t>
        </is>
      </c>
      <c r="D212" t="inlineStr">
        <is>
          <t>2.3</t>
        </is>
      </c>
      <c r="E212" t="inlineStr">
        <is>
          <t>Notify the customer</t>
        </is>
      </c>
      <c r="F212" t="inlineStr">
        <is>
          <t>claude-sonnet-5</t>
        </is>
      </c>
      <c r="G212" t="inlineStr">
        <is>
          <t>claude-sonnet-5</t>
        </is>
      </c>
      <c r="H212" s="36" t="n">
        <v>10</v>
      </c>
      <c r="I212" s="36" t="n">
        <v>1882</v>
      </c>
      <c r="J212" s="36" t="n">
        <v>24705</v>
      </c>
      <c r="K212" s="36" t="n">
        <v>100000</v>
      </c>
      <c r="L212" s="36" t="n">
        <v>1635294</v>
      </c>
      <c r="M212" s="36" t="n">
        <v>25294</v>
      </c>
      <c r="N212" s="14">
        <f>IFERROR((I212*VLOOKUP($G212,'Claude Prices'!$A$5:$G$22,3,FALSE)+J212*VLOOKUP($G212,'Claude Prices'!$A$5:$G$22,4,FALSE)+K212*VLOOKUP($G212,'Claude Prices'!$A$5:$G$22,5,FALSE)+L212*VLOOKUP($G212,'Claude Prices'!$A$5:$G$22,6,FALSE)+M212*VLOOKUP($G212,'Claude Prices'!$A$5:$G$22,7,FALSE))/1000000,0)</f>
        <v/>
      </c>
      <c r="O212" s="14">
        <f>N212*ClaudeFxRate</f>
        <v/>
      </c>
    </row>
    <row r="213">
      <c r="A213" s="26" t="n">
        <v>46185</v>
      </c>
      <c r="B213" t="inlineStr">
        <is>
          <t>ops</t>
        </is>
      </c>
      <c r="C213" t="inlineStr">
        <is>
          <t>merges, promotions &amp; deploys</t>
        </is>
      </c>
      <c r="D213" t="inlineStr"/>
      <c r="E213" t="inlineStr"/>
      <c r="F213" t="inlineStr">
        <is>
          <t>claude-haiku-4-5-20251001</t>
        </is>
      </c>
      <c r="G213" t="inlineStr">
        <is>
          <t>claude-haiku-4-5</t>
        </is>
      </c>
      <c r="H213" s="36" t="n">
        <v>1</v>
      </c>
      <c r="I213" s="36" t="n">
        <v>294</v>
      </c>
      <c r="J213" s="36" t="n">
        <v>1294</v>
      </c>
      <c r="K213" s="36" t="n">
        <v>4941</v>
      </c>
      <c r="L213" s="36" t="n">
        <v>101176</v>
      </c>
      <c r="M213" s="36" t="n">
        <v>1117</v>
      </c>
      <c r="N213" s="14">
        <f>IFERROR((I213*VLOOKUP($G213,'Claude Prices'!$A$5:$G$22,3,FALSE)+J213*VLOOKUP($G213,'Claude Prices'!$A$5:$G$22,4,FALSE)+K213*VLOOKUP($G213,'Claude Prices'!$A$5:$G$22,5,FALSE)+L213*VLOOKUP($G213,'Claude Prices'!$A$5:$G$22,6,FALSE)+M213*VLOOKUP($G213,'Claude Prices'!$A$5:$G$22,7,FALSE))/1000000,0)</f>
        <v/>
      </c>
      <c r="O213" s="14">
        <f>N213*ClaudeFxRate</f>
        <v/>
      </c>
    </row>
    <row r="214">
      <c r="A214" s="26" t="n">
        <v>46188</v>
      </c>
      <c r="B214" t="inlineStr">
        <is>
          <t>story</t>
        </is>
      </c>
      <c r="C214" t="inlineStr">
        <is>
          <t>FAL-23</t>
        </is>
      </c>
      <c r="D214" t="inlineStr">
        <is>
          <t>2.3</t>
        </is>
      </c>
      <c r="E214" t="inlineStr">
        <is>
          <t>Notify the customer</t>
        </is>
      </c>
      <c r="F214" t="inlineStr">
        <is>
          <t>claude-sonnet-5</t>
        </is>
      </c>
      <c r="G214" t="inlineStr">
        <is>
          <t>claude-sonnet-5</t>
        </is>
      </c>
      <c r="H214" s="36" t="n">
        <v>10</v>
      </c>
      <c r="I214" s="36" t="n">
        <v>1882</v>
      </c>
      <c r="J214" s="36" t="n">
        <v>24705</v>
      </c>
      <c r="K214" s="36" t="n">
        <v>100000</v>
      </c>
      <c r="L214" s="36" t="n">
        <v>1635294</v>
      </c>
      <c r="M214" s="36" t="n">
        <v>25294</v>
      </c>
      <c r="N214" s="14">
        <f>IFERROR((I214*VLOOKUP($G214,'Claude Prices'!$A$5:$G$22,3,FALSE)+J214*VLOOKUP($G214,'Claude Prices'!$A$5:$G$22,4,FALSE)+K214*VLOOKUP($G214,'Claude Prices'!$A$5:$G$22,5,FALSE)+L214*VLOOKUP($G214,'Claude Prices'!$A$5:$G$22,6,FALSE)+M214*VLOOKUP($G214,'Claude Prices'!$A$5:$G$22,7,FALSE))/1000000,0)</f>
        <v/>
      </c>
      <c r="O214" s="14">
        <f>N214*ClaudeFxRate</f>
        <v/>
      </c>
    </row>
    <row r="215">
      <c r="A215" s="26" t="n">
        <v>46188</v>
      </c>
      <c r="B215" t="inlineStr">
        <is>
          <t>ops</t>
        </is>
      </c>
      <c r="C215" t="inlineStr">
        <is>
          <t>merges, promotions &amp; deploys</t>
        </is>
      </c>
      <c r="D215" t="inlineStr"/>
      <c r="E215" t="inlineStr"/>
      <c r="F215" t="inlineStr">
        <is>
          <t>claude-haiku-4-5-20251001</t>
        </is>
      </c>
      <c r="G215" t="inlineStr">
        <is>
          <t>claude-haiku-4-5</t>
        </is>
      </c>
      <c r="H215" s="36" t="n">
        <v>1</v>
      </c>
      <c r="I215" s="36" t="n">
        <v>294</v>
      </c>
      <c r="J215" s="36" t="n">
        <v>1294</v>
      </c>
      <c r="K215" s="36" t="n">
        <v>4941</v>
      </c>
      <c r="L215" s="36" t="n">
        <v>101176</v>
      </c>
      <c r="M215" s="36" t="n">
        <v>1117</v>
      </c>
      <c r="N215" s="14">
        <f>IFERROR((I215*VLOOKUP($G215,'Claude Prices'!$A$5:$G$22,3,FALSE)+J215*VLOOKUP($G215,'Claude Prices'!$A$5:$G$22,4,FALSE)+K215*VLOOKUP($G215,'Claude Prices'!$A$5:$G$22,5,FALSE)+L215*VLOOKUP($G215,'Claude Prices'!$A$5:$G$22,6,FALSE)+M215*VLOOKUP($G215,'Claude Prices'!$A$5:$G$22,7,FALSE))/1000000,0)</f>
        <v/>
      </c>
      <c r="O215" s="14">
        <f>N215*ClaudeFxRate</f>
        <v/>
      </c>
    </row>
    <row r="216">
      <c r="A216" s="26" t="n">
        <v>46189</v>
      </c>
      <c r="B216" t="inlineStr">
        <is>
          <t>story</t>
        </is>
      </c>
      <c r="C216" t="inlineStr">
        <is>
          <t>FAL-23</t>
        </is>
      </c>
      <c r="D216" t="inlineStr">
        <is>
          <t>2.3</t>
        </is>
      </c>
      <c r="E216" t="inlineStr">
        <is>
          <t>Notify the customer</t>
        </is>
      </c>
      <c r="F216" t="inlineStr">
        <is>
          <t>claude-sonnet-5</t>
        </is>
      </c>
      <c r="G216" t="inlineStr">
        <is>
          <t>claude-sonnet-5</t>
        </is>
      </c>
      <c r="H216" s="36" t="n">
        <v>10</v>
      </c>
      <c r="I216" s="36" t="n">
        <v>1882</v>
      </c>
      <c r="J216" s="36" t="n">
        <v>24705</v>
      </c>
      <c r="K216" s="36" t="n">
        <v>100000</v>
      </c>
      <c r="L216" s="36" t="n">
        <v>1635294</v>
      </c>
      <c r="M216" s="36" t="n">
        <v>25294</v>
      </c>
      <c r="N216" s="14">
        <f>IFERROR((I216*VLOOKUP($G216,'Claude Prices'!$A$5:$G$22,3,FALSE)+J216*VLOOKUP($G216,'Claude Prices'!$A$5:$G$22,4,FALSE)+K216*VLOOKUP($G216,'Claude Prices'!$A$5:$G$22,5,FALSE)+L216*VLOOKUP($G216,'Claude Prices'!$A$5:$G$22,6,FALSE)+M216*VLOOKUP($G216,'Claude Prices'!$A$5:$G$22,7,FALSE))/1000000,0)</f>
        <v/>
      </c>
      <c r="O216" s="14">
        <f>N216*ClaudeFxRate</f>
        <v/>
      </c>
    </row>
    <row r="217">
      <c r="A217" s="26" t="n">
        <v>46189</v>
      </c>
      <c r="B217" t="inlineStr">
        <is>
          <t>ops</t>
        </is>
      </c>
      <c r="C217" t="inlineStr">
        <is>
          <t>merges, promotions &amp; deploys</t>
        </is>
      </c>
      <c r="D217" t="inlineStr"/>
      <c r="E217" t="inlineStr"/>
      <c r="F217" t="inlineStr">
        <is>
          <t>claude-haiku-4-5-20251001</t>
        </is>
      </c>
      <c r="G217" t="inlineStr">
        <is>
          <t>claude-haiku-4-5</t>
        </is>
      </c>
      <c r="H217" s="36" t="n">
        <v>1</v>
      </c>
      <c r="I217" s="36" t="n">
        <v>294</v>
      </c>
      <c r="J217" s="36" t="n">
        <v>1294</v>
      </c>
      <c r="K217" s="36" t="n">
        <v>4941</v>
      </c>
      <c r="L217" s="36" t="n">
        <v>101176</v>
      </c>
      <c r="M217" s="36" t="n">
        <v>1117</v>
      </c>
      <c r="N217" s="14">
        <f>IFERROR((I217*VLOOKUP($G217,'Claude Prices'!$A$5:$G$22,3,FALSE)+J217*VLOOKUP($G217,'Claude Prices'!$A$5:$G$22,4,FALSE)+K217*VLOOKUP($G217,'Claude Prices'!$A$5:$G$22,5,FALSE)+L217*VLOOKUP($G217,'Claude Prices'!$A$5:$G$22,6,FALSE)+M217*VLOOKUP($G217,'Claude Prices'!$A$5:$G$22,7,FALSE))/1000000,0)</f>
        <v/>
      </c>
      <c r="O217" s="14">
        <f>N217*ClaudeFxRate</f>
        <v/>
      </c>
    </row>
    <row r="218">
      <c r="A218" s="26" t="n">
        <v>46190</v>
      </c>
      <c r="B218" t="inlineStr">
        <is>
          <t>story</t>
        </is>
      </c>
      <c r="C218" t="inlineStr">
        <is>
          <t>FAL-23</t>
        </is>
      </c>
      <c r="D218" t="inlineStr">
        <is>
          <t>2.3</t>
        </is>
      </c>
      <c r="E218" t="inlineStr">
        <is>
          <t>Notify the customer</t>
        </is>
      </c>
      <c r="F218" t="inlineStr">
        <is>
          <t>claude-sonnet-5</t>
        </is>
      </c>
      <c r="G218" t="inlineStr">
        <is>
          <t>claude-sonnet-5</t>
        </is>
      </c>
      <c r="H218" s="36" t="n">
        <v>10</v>
      </c>
      <c r="I218" s="36" t="n">
        <v>1882</v>
      </c>
      <c r="J218" s="36" t="n">
        <v>24705</v>
      </c>
      <c r="K218" s="36" t="n">
        <v>100000</v>
      </c>
      <c r="L218" s="36" t="n">
        <v>1635294</v>
      </c>
      <c r="M218" s="36" t="n">
        <v>25294</v>
      </c>
      <c r="N218" s="14">
        <f>IFERROR((I218*VLOOKUP($G218,'Claude Prices'!$A$5:$G$22,3,FALSE)+J218*VLOOKUP($G218,'Claude Prices'!$A$5:$G$22,4,FALSE)+K218*VLOOKUP($G218,'Claude Prices'!$A$5:$G$22,5,FALSE)+L218*VLOOKUP($G218,'Claude Prices'!$A$5:$G$22,6,FALSE)+M218*VLOOKUP($G218,'Claude Prices'!$A$5:$G$22,7,FALSE))/1000000,0)</f>
        <v/>
      </c>
      <c r="O218" s="14">
        <f>N218*ClaudeFxRate</f>
        <v/>
      </c>
    </row>
    <row r="219">
      <c r="A219" s="26" t="n">
        <v>46190</v>
      </c>
      <c r="B219" t="inlineStr">
        <is>
          <t>ops</t>
        </is>
      </c>
      <c r="C219" t="inlineStr">
        <is>
          <t>merges, promotions &amp; deploys</t>
        </is>
      </c>
      <c r="D219" t="inlineStr"/>
      <c r="E219" t="inlineStr"/>
      <c r="F219" t="inlineStr">
        <is>
          <t>claude-haiku-4-5-20251001</t>
        </is>
      </c>
      <c r="G219" t="inlineStr">
        <is>
          <t>claude-haiku-4-5</t>
        </is>
      </c>
      <c r="H219" s="36" t="n">
        <v>1</v>
      </c>
      <c r="I219" s="36" t="n">
        <v>294</v>
      </c>
      <c r="J219" s="36" t="n">
        <v>1294</v>
      </c>
      <c r="K219" s="36" t="n">
        <v>4941</v>
      </c>
      <c r="L219" s="36" t="n">
        <v>101176</v>
      </c>
      <c r="M219" s="36" t="n">
        <v>1117</v>
      </c>
      <c r="N219" s="14">
        <f>IFERROR((I219*VLOOKUP($G219,'Claude Prices'!$A$5:$G$22,3,FALSE)+J219*VLOOKUP($G219,'Claude Prices'!$A$5:$G$22,4,FALSE)+K219*VLOOKUP($G219,'Claude Prices'!$A$5:$G$22,5,FALSE)+L219*VLOOKUP($G219,'Claude Prices'!$A$5:$G$22,6,FALSE)+M219*VLOOKUP($G219,'Claude Prices'!$A$5:$G$22,7,FALSE))/1000000,0)</f>
        <v/>
      </c>
      <c r="O219" s="14">
        <f>N219*ClaudeFxRate</f>
        <v/>
      </c>
    </row>
    <row r="220">
      <c r="A220" s="26" t="n">
        <v>46191</v>
      </c>
      <c r="B220" t="inlineStr">
        <is>
          <t>story</t>
        </is>
      </c>
      <c r="C220" t="inlineStr">
        <is>
          <t>FAL-23</t>
        </is>
      </c>
      <c r="D220" t="inlineStr">
        <is>
          <t>2.3</t>
        </is>
      </c>
      <c r="E220" t="inlineStr">
        <is>
          <t>Notify the customer</t>
        </is>
      </c>
      <c r="F220" t="inlineStr">
        <is>
          <t>claude-sonnet-5</t>
        </is>
      </c>
      <c r="G220" t="inlineStr">
        <is>
          <t>claude-sonnet-5</t>
        </is>
      </c>
      <c r="H220" s="36" t="n">
        <v>10</v>
      </c>
      <c r="I220" s="36" t="n">
        <v>1882</v>
      </c>
      <c r="J220" s="36" t="n">
        <v>24705</v>
      </c>
      <c r="K220" s="36" t="n">
        <v>100000</v>
      </c>
      <c r="L220" s="36" t="n">
        <v>1635294</v>
      </c>
      <c r="M220" s="36" t="n">
        <v>25294</v>
      </c>
      <c r="N220" s="14">
        <f>IFERROR((I220*VLOOKUP($G220,'Claude Prices'!$A$5:$G$22,3,FALSE)+J220*VLOOKUP($G220,'Claude Prices'!$A$5:$G$22,4,FALSE)+K220*VLOOKUP($G220,'Claude Prices'!$A$5:$G$22,5,FALSE)+L220*VLOOKUP($G220,'Claude Prices'!$A$5:$G$22,6,FALSE)+M220*VLOOKUP($G220,'Claude Prices'!$A$5:$G$22,7,FALSE))/1000000,0)</f>
        <v/>
      </c>
      <c r="O220" s="14">
        <f>N220*ClaudeFxRate</f>
        <v/>
      </c>
    </row>
    <row r="221">
      <c r="A221" s="26" t="n">
        <v>46191</v>
      </c>
      <c r="B221" t="inlineStr">
        <is>
          <t>ops</t>
        </is>
      </c>
      <c r="C221" t="inlineStr">
        <is>
          <t>merges, promotions &amp; deploys</t>
        </is>
      </c>
      <c r="D221" t="inlineStr"/>
      <c r="E221" t="inlineStr"/>
      <c r="F221" t="inlineStr">
        <is>
          <t>claude-haiku-4-5-20251001</t>
        </is>
      </c>
      <c r="G221" t="inlineStr">
        <is>
          <t>claude-haiku-4-5</t>
        </is>
      </c>
      <c r="H221" s="36" t="n">
        <v>1</v>
      </c>
      <c r="I221" s="36" t="n">
        <v>294</v>
      </c>
      <c r="J221" s="36" t="n">
        <v>1294</v>
      </c>
      <c r="K221" s="36" t="n">
        <v>4941</v>
      </c>
      <c r="L221" s="36" t="n">
        <v>101176</v>
      </c>
      <c r="M221" s="36" t="n">
        <v>1117</v>
      </c>
      <c r="N221" s="14">
        <f>IFERROR((I221*VLOOKUP($G221,'Claude Prices'!$A$5:$G$22,3,FALSE)+J221*VLOOKUP($G221,'Claude Prices'!$A$5:$G$22,4,FALSE)+K221*VLOOKUP($G221,'Claude Prices'!$A$5:$G$22,5,FALSE)+L221*VLOOKUP($G221,'Claude Prices'!$A$5:$G$22,6,FALSE)+M221*VLOOKUP($G221,'Claude Prices'!$A$5:$G$22,7,FALSE))/1000000,0)</f>
        <v/>
      </c>
      <c r="O221" s="14">
        <f>N221*ClaudeFxRate</f>
        <v/>
      </c>
    </row>
    <row r="222">
      <c r="A222" s="26" t="n">
        <v>46192</v>
      </c>
      <c r="B222" t="inlineStr">
        <is>
          <t>story</t>
        </is>
      </c>
      <c r="C222" t="inlineStr">
        <is>
          <t>FAL-23</t>
        </is>
      </c>
      <c r="D222" t="inlineStr">
        <is>
          <t>2.3</t>
        </is>
      </c>
      <c r="E222" t="inlineStr">
        <is>
          <t>Notify the customer</t>
        </is>
      </c>
      <c r="F222" t="inlineStr">
        <is>
          <t>claude-sonnet-5</t>
        </is>
      </c>
      <c r="G222" t="inlineStr">
        <is>
          <t>claude-sonnet-5</t>
        </is>
      </c>
      <c r="H222" s="36" t="n">
        <v>10</v>
      </c>
      <c r="I222" s="36" t="n">
        <v>1882</v>
      </c>
      <c r="J222" s="36" t="n">
        <v>24705</v>
      </c>
      <c r="K222" s="36" t="n">
        <v>100000</v>
      </c>
      <c r="L222" s="36" t="n">
        <v>1635294</v>
      </c>
      <c r="M222" s="36" t="n">
        <v>25294</v>
      </c>
      <c r="N222" s="14">
        <f>IFERROR((I222*VLOOKUP($G222,'Claude Prices'!$A$5:$G$22,3,FALSE)+J222*VLOOKUP($G222,'Claude Prices'!$A$5:$G$22,4,FALSE)+K222*VLOOKUP($G222,'Claude Prices'!$A$5:$G$22,5,FALSE)+L222*VLOOKUP($G222,'Claude Prices'!$A$5:$G$22,6,FALSE)+M222*VLOOKUP($G222,'Claude Prices'!$A$5:$G$22,7,FALSE))/1000000,0)</f>
        <v/>
      </c>
      <c r="O222" s="14">
        <f>N222*ClaudeFxRate</f>
        <v/>
      </c>
    </row>
    <row r="223">
      <c r="A223" s="26" t="n">
        <v>46192</v>
      </c>
      <c r="B223" t="inlineStr">
        <is>
          <t>ops</t>
        </is>
      </c>
      <c r="C223" t="inlineStr">
        <is>
          <t>merges, promotions &amp; deploys</t>
        </is>
      </c>
      <c r="D223" t="inlineStr"/>
      <c r="E223" t="inlineStr"/>
      <c r="F223" t="inlineStr">
        <is>
          <t>claude-haiku-4-5-20251001</t>
        </is>
      </c>
      <c r="G223" t="inlineStr">
        <is>
          <t>claude-haiku-4-5</t>
        </is>
      </c>
      <c r="H223" s="36" t="n">
        <v>1</v>
      </c>
      <c r="I223" s="36" t="n">
        <v>294</v>
      </c>
      <c r="J223" s="36" t="n">
        <v>1294</v>
      </c>
      <c r="K223" s="36" t="n">
        <v>4941</v>
      </c>
      <c r="L223" s="36" t="n">
        <v>101176</v>
      </c>
      <c r="M223" s="36" t="n">
        <v>1117</v>
      </c>
      <c r="N223" s="14">
        <f>IFERROR((I223*VLOOKUP($G223,'Claude Prices'!$A$5:$G$22,3,FALSE)+J223*VLOOKUP($G223,'Claude Prices'!$A$5:$G$22,4,FALSE)+K223*VLOOKUP($G223,'Claude Prices'!$A$5:$G$22,5,FALSE)+L223*VLOOKUP($G223,'Claude Prices'!$A$5:$G$22,6,FALSE)+M223*VLOOKUP($G223,'Claude Prices'!$A$5:$G$22,7,FALSE))/1000000,0)</f>
        <v/>
      </c>
      <c r="O223" s="14">
        <f>N223*ClaudeFxRate</f>
        <v/>
      </c>
    </row>
    <row r="224">
      <c r="A224" s="26" t="n">
        <v>46195</v>
      </c>
      <c r="B224" t="inlineStr">
        <is>
          <t>story</t>
        </is>
      </c>
      <c r="C224" t="inlineStr">
        <is>
          <t>FAL-23</t>
        </is>
      </c>
      <c r="D224" t="inlineStr">
        <is>
          <t>2.3</t>
        </is>
      </c>
      <c r="E224" t="inlineStr">
        <is>
          <t>Notify the customer</t>
        </is>
      </c>
      <c r="F224" t="inlineStr">
        <is>
          <t>claude-sonnet-5</t>
        </is>
      </c>
      <c r="G224" t="inlineStr">
        <is>
          <t>claude-sonnet-5</t>
        </is>
      </c>
      <c r="H224" s="36" t="n">
        <v>10</v>
      </c>
      <c r="I224" s="36" t="n">
        <v>1882</v>
      </c>
      <c r="J224" s="36" t="n">
        <v>24705</v>
      </c>
      <c r="K224" s="36" t="n">
        <v>100000</v>
      </c>
      <c r="L224" s="36" t="n">
        <v>1635294</v>
      </c>
      <c r="M224" s="36" t="n">
        <v>25294</v>
      </c>
      <c r="N224" s="14">
        <f>IFERROR((I224*VLOOKUP($G224,'Claude Prices'!$A$5:$G$22,3,FALSE)+J224*VLOOKUP($G224,'Claude Prices'!$A$5:$G$22,4,FALSE)+K224*VLOOKUP($G224,'Claude Prices'!$A$5:$G$22,5,FALSE)+L224*VLOOKUP($G224,'Claude Prices'!$A$5:$G$22,6,FALSE)+M224*VLOOKUP($G224,'Claude Prices'!$A$5:$G$22,7,FALSE))/1000000,0)</f>
        <v/>
      </c>
      <c r="O224" s="14">
        <f>N224*ClaudeFxRate</f>
        <v/>
      </c>
    </row>
    <row r="225">
      <c r="A225" s="26" t="n">
        <v>46195</v>
      </c>
      <c r="B225" t="inlineStr">
        <is>
          <t>ops</t>
        </is>
      </c>
      <c r="C225" t="inlineStr">
        <is>
          <t>merges, promotions &amp; deploys</t>
        </is>
      </c>
      <c r="D225" t="inlineStr"/>
      <c r="E225" t="inlineStr"/>
      <c r="F225" t="inlineStr">
        <is>
          <t>claude-haiku-4-5-20251001</t>
        </is>
      </c>
      <c r="G225" t="inlineStr">
        <is>
          <t>claude-haiku-4-5</t>
        </is>
      </c>
      <c r="H225" s="36" t="n">
        <v>1</v>
      </c>
      <c r="I225" s="36" t="n">
        <v>294</v>
      </c>
      <c r="J225" s="36" t="n">
        <v>1294</v>
      </c>
      <c r="K225" s="36" t="n">
        <v>4941</v>
      </c>
      <c r="L225" s="36" t="n">
        <v>101176</v>
      </c>
      <c r="M225" s="36" t="n">
        <v>1117</v>
      </c>
      <c r="N225" s="14">
        <f>IFERROR((I225*VLOOKUP($G225,'Claude Prices'!$A$5:$G$22,3,FALSE)+J225*VLOOKUP($G225,'Claude Prices'!$A$5:$G$22,4,FALSE)+K225*VLOOKUP($G225,'Claude Prices'!$A$5:$G$22,5,FALSE)+L225*VLOOKUP($G225,'Claude Prices'!$A$5:$G$22,6,FALSE)+M225*VLOOKUP($G225,'Claude Prices'!$A$5:$G$22,7,FALSE))/1000000,0)</f>
        <v/>
      </c>
      <c r="O225" s="14">
        <f>N225*ClaudeFxRate</f>
        <v/>
      </c>
    </row>
    <row r="226">
      <c r="A226" s="26" t="n">
        <v>46196</v>
      </c>
      <c r="B226" t="inlineStr">
        <is>
          <t>story</t>
        </is>
      </c>
      <c r="C226" t="inlineStr">
        <is>
          <t>FAL-23</t>
        </is>
      </c>
      <c r="D226" t="inlineStr">
        <is>
          <t>2.3</t>
        </is>
      </c>
      <c r="E226" t="inlineStr">
        <is>
          <t>Notify the customer</t>
        </is>
      </c>
      <c r="F226" t="inlineStr">
        <is>
          <t>claude-sonnet-5</t>
        </is>
      </c>
      <c r="G226" t="inlineStr">
        <is>
          <t>claude-sonnet-5</t>
        </is>
      </c>
      <c r="H226" s="36" t="n">
        <v>10</v>
      </c>
      <c r="I226" s="36" t="n">
        <v>1882</v>
      </c>
      <c r="J226" s="36" t="n">
        <v>24705</v>
      </c>
      <c r="K226" s="36" t="n">
        <v>100000</v>
      </c>
      <c r="L226" s="36" t="n">
        <v>1635294</v>
      </c>
      <c r="M226" s="36" t="n">
        <v>25294</v>
      </c>
      <c r="N226" s="14">
        <f>IFERROR((I226*VLOOKUP($G226,'Claude Prices'!$A$5:$G$22,3,FALSE)+J226*VLOOKUP($G226,'Claude Prices'!$A$5:$G$22,4,FALSE)+K226*VLOOKUP($G226,'Claude Prices'!$A$5:$G$22,5,FALSE)+L226*VLOOKUP($G226,'Claude Prices'!$A$5:$G$22,6,FALSE)+M226*VLOOKUP($G226,'Claude Prices'!$A$5:$G$22,7,FALSE))/1000000,0)</f>
        <v/>
      </c>
      <c r="O226" s="14">
        <f>N226*ClaudeFxRate</f>
        <v/>
      </c>
    </row>
    <row r="227">
      <c r="A227" s="26" t="n">
        <v>46196</v>
      </c>
      <c r="B227" t="inlineStr">
        <is>
          <t>ops</t>
        </is>
      </c>
      <c r="C227" t="inlineStr">
        <is>
          <t>merges, promotions &amp; deploys</t>
        </is>
      </c>
      <c r="D227" t="inlineStr"/>
      <c r="E227" t="inlineStr"/>
      <c r="F227" t="inlineStr">
        <is>
          <t>claude-haiku-4-5-20251001</t>
        </is>
      </c>
      <c r="G227" t="inlineStr">
        <is>
          <t>claude-haiku-4-5</t>
        </is>
      </c>
      <c r="H227" s="36" t="n">
        <v>1</v>
      </c>
      <c r="I227" s="36" t="n">
        <v>294</v>
      </c>
      <c r="J227" s="36" t="n">
        <v>1294</v>
      </c>
      <c r="K227" s="36" t="n">
        <v>4941</v>
      </c>
      <c r="L227" s="36" t="n">
        <v>101176</v>
      </c>
      <c r="M227" s="36" t="n">
        <v>1117</v>
      </c>
      <c r="N227" s="14">
        <f>IFERROR((I227*VLOOKUP($G227,'Claude Prices'!$A$5:$G$22,3,FALSE)+J227*VLOOKUP($G227,'Claude Prices'!$A$5:$G$22,4,FALSE)+K227*VLOOKUP($G227,'Claude Prices'!$A$5:$G$22,5,FALSE)+L227*VLOOKUP($G227,'Claude Prices'!$A$5:$G$22,6,FALSE)+M227*VLOOKUP($G227,'Claude Prices'!$A$5:$G$22,7,FALSE))/1000000,0)</f>
        <v/>
      </c>
      <c r="O227" s="14">
        <f>N227*ClaudeFxRate</f>
        <v/>
      </c>
    </row>
    <row r="228">
      <c r="A228" s="26" t="n">
        <v>46197</v>
      </c>
      <c r="B228" t="inlineStr">
        <is>
          <t>story</t>
        </is>
      </c>
      <c r="C228" t="inlineStr">
        <is>
          <t>FAL-23</t>
        </is>
      </c>
      <c r="D228" t="inlineStr">
        <is>
          <t>2.3</t>
        </is>
      </c>
      <c r="E228" t="inlineStr">
        <is>
          <t>Notify the customer</t>
        </is>
      </c>
      <c r="F228" t="inlineStr">
        <is>
          <t>claude-sonnet-5</t>
        </is>
      </c>
      <c r="G228" t="inlineStr">
        <is>
          <t>claude-sonnet-5</t>
        </is>
      </c>
      <c r="H228" s="36" t="n">
        <v>10</v>
      </c>
      <c r="I228" s="36" t="n">
        <v>1882</v>
      </c>
      <c r="J228" s="36" t="n">
        <v>24705</v>
      </c>
      <c r="K228" s="36" t="n">
        <v>100000</v>
      </c>
      <c r="L228" s="36" t="n">
        <v>1635294</v>
      </c>
      <c r="M228" s="36" t="n">
        <v>25294</v>
      </c>
      <c r="N228" s="14">
        <f>IFERROR((I228*VLOOKUP($G228,'Claude Prices'!$A$5:$G$22,3,FALSE)+J228*VLOOKUP($G228,'Claude Prices'!$A$5:$G$22,4,FALSE)+K228*VLOOKUP($G228,'Claude Prices'!$A$5:$G$22,5,FALSE)+L228*VLOOKUP($G228,'Claude Prices'!$A$5:$G$22,6,FALSE)+M228*VLOOKUP($G228,'Claude Prices'!$A$5:$G$22,7,FALSE))/1000000,0)</f>
        <v/>
      </c>
      <c r="O228" s="14">
        <f>N228*ClaudeFxRate</f>
        <v/>
      </c>
    </row>
    <row r="229">
      <c r="A229" s="26" t="n">
        <v>46197</v>
      </c>
      <c r="B229" t="inlineStr">
        <is>
          <t>ops</t>
        </is>
      </c>
      <c r="C229" t="inlineStr">
        <is>
          <t>merges, promotions &amp; deploys</t>
        </is>
      </c>
      <c r="D229" t="inlineStr"/>
      <c r="E229" t="inlineStr"/>
      <c r="F229" t="inlineStr">
        <is>
          <t>claude-haiku-4-5-20251001</t>
        </is>
      </c>
      <c r="G229" t="inlineStr">
        <is>
          <t>claude-haiku-4-5</t>
        </is>
      </c>
      <c r="H229" s="36" t="n">
        <v>1</v>
      </c>
      <c r="I229" s="36" t="n">
        <v>294</v>
      </c>
      <c r="J229" s="36" t="n">
        <v>1294</v>
      </c>
      <c r="K229" s="36" t="n">
        <v>4941</v>
      </c>
      <c r="L229" s="36" t="n">
        <v>101176</v>
      </c>
      <c r="M229" s="36" t="n">
        <v>1117</v>
      </c>
      <c r="N229" s="14">
        <f>IFERROR((I229*VLOOKUP($G229,'Claude Prices'!$A$5:$G$22,3,FALSE)+J229*VLOOKUP($G229,'Claude Prices'!$A$5:$G$22,4,FALSE)+K229*VLOOKUP($G229,'Claude Prices'!$A$5:$G$22,5,FALSE)+L229*VLOOKUP($G229,'Claude Prices'!$A$5:$G$22,6,FALSE)+M229*VLOOKUP($G229,'Claude Prices'!$A$5:$G$22,7,FALSE))/1000000,0)</f>
        <v/>
      </c>
      <c r="O229" s="14">
        <f>N229*ClaudeFxRate</f>
        <v/>
      </c>
    </row>
    <row r="230">
      <c r="A230" s="26" t="n">
        <v>46198</v>
      </c>
      <c r="B230" t="inlineStr">
        <is>
          <t>story</t>
        </is>
      </c>
      <c r="C230" t="inlineStr">
        <is>
          <t>FAL-23</t>
        </is>
      </c>
      <c r="D230" t="inlineStr">
        <is>
          <t>2.3</t>
        </is>
      </c>
      <c r="E230" t="inlineStr">
        <is>
          <t>Notify the customer</t>
        </is>
      </c>
      <c r="F230" t="inlineStr">
        <is>
          <t>claude-sonnet-5</t>
        </is>
      </c>
      <c r="G230" t="inlineStr">
        <is>
          <t>claude-sonnet-5</t>
        </is>
      </c>
      <c r="H230" s="36" t="n">
        <v>10</v>
      </c>
      <c r="I230" s="36" t="n">
        <v>1882</v>
      </c>
      <c r="J230" s="36" t="n">
        <v>24705</v>
      </c>
      <c r="K230" s="36" t="n">
        <v>100000</v>
      </c>
      <c r="L230" s="36" t="n">
        <v>1635294</v>
      </c>
      <c r="M230" s="36" t="n">
        <v>25294</v>
      </c>
      <c r="N230" s="14">
        <f>IFERROR((I230*VLOOKUP($G230,'Claude Prices'!$A$5:$G$22,3,FALSE)+J230*VLOOKUP($G230,'Claude Prices'!$A$5:$G$22,4,FALSE)+K230*VLOOKUP($G230,'Claude Prices'!$A$5:$G$22,5,FALSE)+L230*VLOOKUP($G230,'Claude Prices'!$A$5:$G$22,6,FALSE)+M230*VLOOKUP($G230,'Claude Prices'!$A$5:$G$22,7,FALSE))/1000000,0)</f>
        <v/>
      </c>
      <c r="O230" s="14">
        <f>N230*ClaudeFxRate</f>
        <v/>
      </c>
    </row>
    <row r="231">
      <c r="A231" s="26" t="n">
        <v>46198</v>
      </c>
      <c r="B231" t="inlineStr">
        <is>
          <t>ops</t>
        </is>
      </c>
      <c r="C231" t="inlineStr">
        <is>
          <t>merges, promotions &amp; deploys</t>
        </is>
      </c>
      <c r="D231" t="inlineStr"/>
      <c r="E231" t="inlineStr"/>
      <c r="F231" t="inlineStr">
        <is>
          <t>claude-haiku-4-5-20251001</t>
        </is>
      </c>
      <c r="G231" t="inlineStr">
        <is>
          <t>claude-haiku-4-5</t>
        </is>
      </c>
      <c r="H231" s="36" t="n">
        <v>1</v>
      </c>
      <c r="I231" s="36" t="n">
        <v>294</v>
      </c>
      <c r="J231" s="36" t="n">
        <v>1294</v>
      </c>
      <c r="K231" s="36" t="n">
        <v>4941</v>
      </c>
      <c r="L231" s="36" t="n">
        <v>101176</v>
      </c>
      <c r="M231" s="36" t="n">
        <v>1117</v>
      </c>
      <c r="N231" s="14">
        <f>IFERROR((I231*VLOOKUP($G231,'Claude Prices'!$A$5:$G$22,3,FALSE)+J231*VLOOKUP($G231,'Claude Prices'!$A$5:$G$22,4,FALSE)+K231*VLOOKUP($G231,'Claude Prices'!$A$5:$G$22,5,FALSE)+L231*VLOOKUP($G231,'Claude Prices'!$A$5:$G$22,6,FALSE)+M231*VLOOKUP($G231,'Claude Prices'!$A$5:$G$22,7,FALSE))/1000000,0)</f>
        <v/>
      </c>
      <c r="O231" s="14">
        <f>N231*ClaudeFxRate</f>
        <v/>
      </c>
    </row>
    <row r="232">
      <c r="A232" s="26" t="n">
        <v>46199</v>
      </c>
      <c r="B232" t="inlineStr">
        <is>
          <t>story</t>
        </is>
      </c>
      <c r="C232" t="inlineStr">
        <is>
          <t>FAL-23</t>
        </is>
      </c>
      <c r="D232" t="inlineStr">
        <is>
          <t>2.3</t>
        </is>
      </c>
      <c r="E232" t="inlineStr">
        <is>
          <t>Notify the customer</t>
        </is>
      </c>
      <c r="F232" t="inlineStr">
        <is>
          <t>claude-sonnet-5</t>
        </is>
      </c>
      <c r="G232" t="inlineStr">
        <is>
          <t>claude-sonnet-5</t>
        </is>
      </c>
      <c r="H232" s="36" t="n">
        <v>14</v>
      </c>
      <c r="I232" s="36" t="n">
        <v>1888</v>
      </c>
      <c r="J232" s="36" t="n">
        <v>24720</v>
      </c>
      <c r="K232" s="36" t="n">
        <v>100000</v>
      </c>
      <c r="L232" s="36" t="n">
        <v>1635296</v>
      </c>
      <c r="M232" s="36" t="n">
        <v>25296</v>
      </c>
      <c r="N232" s="14">
        <f>IFERROR((I232*VLOOKUP($G232,'Claude Prices'!$A$5:$G$22,3,FALSE)+J232*VLOOKUP($G232,'Claude Prices'!$A$5:$G$22,4,FALSE)+K232*VLOOKUP($G232,'Claude Prices'!$A$5:$G$22,5,FALSE)+L232*VLOOKUP($G232,'Claude Prices'!$A$5:$G$22,6,FALSE)+M232*VLOOKUP($G232,'Claude Prices'!$A$5:$G$22,7,FALSE))/1000000,0)</f>
        <v/>
      </c>
      <c r="O232" s="14">
        <f>N232*ClaudeFxRate</f>
        <v/>
      </c>
    </row>
    <row r="233">
      <c r="A233" s="26" t="n">
        <v>46199</v>
      </c>
      <c r="B233" t="inlineStr">
        <is>
          <t>ops</t>
        </is>
      </c>
      <c r="C233" t="inlineStr">
        <is>
          <t>merges, promotions &amp; deploys</t>
        </is>
      </c>
      <c r="D233" t="inlineStr"/>
      <c r="E233" t="inlineStr"/>
      <c r="F233" t="inlineStr">
        <is>
          <t>claude-haiku-4-5-20251001</t>
        </is>
      </c>
      <c r="G233" t="inlineStr">
        <is>
          <t>claude-haiku-4-5</t>
        </is>
      </c>
      <c r="H233" s="36" t="n">
        <v>49</v>
      </c>
      <c r="I233" s="36" t="n">
        <v>304</v>
      </c>
      <c r="J233" s="36" t="n">
        <v>1304</v>
      </c>
      <c r="K233" s="36" t="n">
        <v>4956</v>
      </c>
      <c r="L233" s="36" t="n">
        <v>101216</v>
      </c>
      <c r="M233" s="36" t="n">
        <v>1172</v>
      </c>
      <c r="N233" s="14">
        <f>IFERROR((I233*VLOOKUP($G233,'Claude Prices'!$A$5:$G$22,3,FALSE)+J233*VLOOKUP($G233,'Claude Prices'!$A$5:$G$22,4,FALSE)+K233*VLOOKUP($G233,'Claude Prices'!$A$5:$G$22,5,FALSE)+L233*VLOOKUP($G233,'Claude Prices'!$A$5:$G$22,6,FALSE)+M233*VLOOKUP($G233,'Claude Prices'!$A$5:$G$22,7,FALSE))/1000000,0)</f>
        <v/>
      </c>
      <c r="O233" s="14">
        <f>N233*ClaudeFxRate</f>
        <v/>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12" customWidth="1" min="1" max="1"/>
    <col width="36" customWidth="1" min="2" max="2"/>
    <col width="30" customWidth="1" min="3" max="3"/>
    <col width="12" customWidth="1" min="4" max="4"/>
    <col width="12" customWidth="1" min="5" max="5"/>
    <col width="12" customWidth="1" min="6" max="6"/>
    <col width="8" customWidth="1" min="7" max="7"/>
    <col width="14" customWidth="1" min="8" max="8"/>
  </cols>
  <sheetData>
    <row r="1">
      <c r="A1" s="1" t="inlineStr">
        <is>
          <t>Project timeline</t>
        </is>
      </c>
    </row>
    <row r="2">
      <c r="A2" t="inlineStr">
        <is>
          <t>Started 2026-01-05; completed 2026-06-26; 173 calendar days, 125 working days. From git history of the BMad artifacts and sprint status, the agents' sanctums and the token ledger.</t>
        </is>
      </c>
    </row>
    <row r="4">
      <c r="A4" s="3" t="inlineStr">
        <is>
          <t>Category</t>
        </is>
      </c>
      <c r="B4" s="3" t="inlineStr">
        <is>
          <t>Name</t>
        </is>
      </c>
      <c r="C4" s="3" t="inlineStr">
        <is>
          <t>Detail</t>
        </is>
      </c>
      <c r="D4" s="3" t="inlineStr">
        <is>
          <t>Status</t>
        </is>
      </c>
      <c r="E4" s="3" t="inlineStr">
        <is>
          <t>Started</t>
        </is>
      </c>
      <c r="F4" s="3" t="inlineStr">
        <is>
          <t>Completed</t>
        </is>
      </c>
      <c r="G4" s="3" t="inlineStr">
        <is>
          <t>Days</t>
        </is>
      </c>
      <c r="H4" s="3" t="inlineStr">
        <is>
          <t>Source</t>
        </is>
      </c>
    </row>
    <row r="5">
      <c r="A5" t="inlineStr">
        <is>
          <t>project</t>
        </is>
      </c>
      <c r="B5" t="inlineStr">
        <is>
          <t>falcon-portal</t>
        </is>
      </c>
      <c r="C5" t="inlineStr">
        <is>
          <t>125 working days</t>
        </is>
      </c>
      <c r="D5" t="inlineStr">
        <is>
          <t>complete</t>
        </is>
      </c>
      <c r="E5" s="26" t="n">
        <v>46027</v>
      </c>
      <c r="F5" s="26" t="n">
        <v>46199</v>
      </c>
      <c r="G5" t="n">
        <v>173</v>
      </c>
      <c r="H5" t="inlineStr">
        <is>
          <t>summary</t>
        </is>
      </c>
    </row>
    <row r="6">
      <c r="A6" t="inlineStr">
        <is>
          <t>bmad stage</t>
        </is>
      </c>
      <c r="B6" t="inlineStr">
        <is>
          <t>spec / PRD</t>
        </is>
      </c>
      <c r="C6" t="inlineStr">
        <is>
          <t>_bmad-output/specs/SPEC.md</t>
        </is>
      </c>
      <c r="D6" t="inlineStr"/>
      <c r="E6" s="26" t="n">
        <v>46028</v>
      </c>
      <c r="F6" s="26" t="n">
        <v>46030</v>
      </c>
      <c r="G6" t="n">
        <v>3</v>
      </c>
      <c r="H6" t="inlineStr">
        <is>
          <t>git</t>
        </is>
      </c>
    </row>
    <row r="7">
      <c r="A7" t="inlineStr">
        <is>
          <t>bmad stage</t>
        </is>
      </c>
      <c r="B7" t="inlineStr">
        <is>
          <t>architecture</t>
        </is>
      </c>
      <c r="C7" t="inlineStr">
        <is>
          <t>_bmad-output/planning-artifacts/architecture/falcon/ARCHITECTURE-SPINE.md</t>
        </is>
      </c>
      <c r="D7" t="inlineStr"/>
      <c r="E7" s="26" t="n">
        <v>46034</v>
      </c>
      <c r="F7" s="26" t="n">
        <v>46044</v>
      </c>
      <c r="G7" t="n">
        <v>11</v>
      </c>
      <c r="H7" t="inlineStr">
        <is>
          <t>git</t>
        </is>
      </c>
    </row>
    <row r="8">
      <c r="A8" t="inlineStr">
        <is>
          <t>bmad stage</t>
        </is>
      </c>
      <c r="B8" t="inlineStr">
        <is>
          <t>UX design</t>
        </is>
      </c>
      <c r="C8" t="inlineStr">
        <is>
          <t>_bmad-output/planning-artifacts/ux-design.md</t>
        </is>
      </c>
      <c r="D8" t="inlineStr"/>
      <c r="E8" s="26" t="n">
        <v>46041</v>
      </c>
      <c r="F8" s="26" t="n">
        <v>46045</v>
      </c>
      <c r="G8" t="n">
        <v>5</v>
      </c>
      <c r="H8" t="inlineStr">
        <is>
          <t>git</t>
        </is>
      </c>
    </row>
    <row r="9">
      <c r="A9" t="inlineStr">
        <is>
          <t>bmad stage</t>
        </is>
      </c>
      <c r="B9" t="inlineStr">
        <is>
          <t>epics &amp; stories</t>
        </is>
      </c>
      <c r="C9" t="inlineStr">
        <is>
          <t>_bmad-output/planning-artifacts/epics.md</t>
        </is>
      </c>
      <c r="D9" t="inlineStr"/>
      <c r="E9" s="26" t="n">
        <v>46048</v>
      </c>
      <c r="F9" s="26" t="n">
        <v>46049</v>
      </c>
      <c r="G9" t="n">
        <v>2</v>
      </c>
      <c r="H9" t="inlineStr">
        <is>
          <t>git</t>
        </is>
      </c>
    </row>
    <row r="10">
      <c r="A10" t="inlineStr">
        <is>
          <t>bmad stage</t>
        </is>
      </c>
      <c r="B10" t="inlineStr">
        <is>
          <t>sprint status</t>
        </is>
      </c>
      <c r="C10" t="inlineStr">
        <is>
          <t>_bmad-output/implementation-artifacts/sprint-status.yaml</t>
        </is>
      </c>
      <c r="D10" t="inlineStr"/>
      <c r="E10" s="26" t="n">
        <v>46083</v>
      </c>
      <c r="F10" s="26" t="n">
        <v>46199</v>
      </c>
      <c r="G10" t="n">
        <v>117</v>
      </c>
      <c r="H10" t="inlineStr">
        <is>
          <t>git</t>
        </is>
      </c>
    </row>
    <row r="11">
      <c r="A11" t="inlineStr">
        <is>
          <t>agent</t>
        </is>
      </c>
      <c r="B11" t="inlineStr">
        <is>
          <t>agent-jules</t>
        </is>
      </c>
      <c r="C11" t="inlineStr">
        <is>
          <t>6 session logs</t>
        </is>
      </c>
      <c r="D11" t="inlineStr"/>
      <c r="E11" s="26" t="n">
        <v>46042</v>
      </c>
      <c r="F11" s="26" t="n">
        <v>46073</v>
      </c>
      <c r="G11" t="n">
        <v>32</v>
      </c>
      <c r="H11" t="inlineStr">
        <is>
          <t>sanctum</t>
        </is>
      </c>
    </row>
    <row r="12">
      <c r="A12" t="inlineStr">
        <is>
          <t>agent</t>
        </is>
      </c>
      <c r="B12" t="inlineStr">
        <is>
          <t>agent-scrooge</t>
        </is>
      </c>
      <c r="C12" t="inlineStr">
        <is>
          <t>4 session logs</t>
        </is>
      </c>
      <c r="D12" t="inlineStr"/>
      <c r="E12" s="26" t="n">
        <v>46042</v>
      </c>
      <c r="F12" s="26" t="n">
        <v>46199</v>
      </c>
      <c r="G12" t="n">
        <v>158</v>
      </c>
      <c r="H12" t="inlineStr">
        <is>
          <t>sanctum</t>
        </is>
      </c>
    </row>
    <row r="13">
      <c r="A13" t="inlineStr">
        <is>
          <t>epic</t>
        </is>
      </c>
      <c r="B13" t="inlineStr">
        <is>
          <t>epic-1</t>
        </is>
      </c>
      <c r="C13" t="inlineStr">
        <is>
          <t>3 stories</t>
        </is>
      </c>
      <c r="D13" t="inlineStr">
        <is>
          <t>done</t>
        </is>
      </c>
      <c r="E13" s="26" t="n">
        <v>46083</v>
      </c>
      <c r="F13" s="26" t="n">
        <v>46132</v>
      </c>
      <c r="G13" t="n">
        <v>50</v>
      </c>
      <c r="H13" t="inlineStr">
        <is>
          <t>git</t>
        </is>
      </c>
    </row>
    <row r="14">
      <c r="A14" t="inlineStr">
        <is>
          <t>story</t>
        </is>
      </c>
      <c r="B14" t="inlineStr">
        <is>
          <t>1-1-sign-in</t>
        </is>
      </c>
      <c r="C14" t="inlineStr">
        <is>
          <t>epic-1</t>
        </is>
      </c>
      <c r="D14" t="inlineStr">
        <is>
          <t>done</t>
        </is>
      </c>
      <c r="E14" s="26" t="n">
        <v>46083</v>
      </c>
      <c r="F14" s="26" t="n">
        <v>46098</v>
      </c>
      <c r="G14" t="n">
        <v>16</v>
      </c>
      <c r="H14" t="inlineStr">
        <is>
          <t>git</t>
        </is>
      </c>
    </row>
    <row r="15">
      <c r="A15" t="inlineStr">
        <is>
          <t>story</t>
        </is>
      </c>
      <c r="B15" t="inlineStr">
        <is>
          <t>1-2-start-application</t>
        </is>
      </c>
      <c r="C15" t="inlineStr">
        <is>
          <t>epic-1</t>
        </is>
      </c>
      <c r="D15" t="inlineStr">
        <is>
          <t>done</t>
        </is>
      </c>
      <c r="E15" s="26" t="n">
        <v>46099</v>
      </c>
      <c r="F15" s="26" t="n">
        <v>46114</v>
      </c>
      <c r="G15" t="n">
        <v>16</v>
      </c>
      <c r="H15" t="inlineStr">
        <is>
          <t>git</t>
        </is>
      </c>
    </row>
    <row r="16">
      <c r="A16" t="inlineStr">
        <is>
          <t>story</t>
        </is>
      </c>
      <c r="B16" t="inlineStr">
        <is>
          <t>1-3-upload-documents</t>
        </is>
      </c>
      <c r="C16" t="inlineStr">
        <is>
          <t>epic-1</t>
        </is>
      </c>
      <c r="D16" t="inlineStr">
        <is>
          <t>done</t>
        </is>
      </c>
      <c r="E16" s="26" t="n">
        <v>46115</v>
      </c>
      <c r="F16" s="26" t="n">
        <v>46132</v>
      </c>
      <c r="G16" t="n">
        <v>18</v>
      </c>
      <c r="H16" t="inlineStr">
        <is>
          <t>git</t>
        </is>
      </c>
    </row>
    <row r="17">
      <c r="A17" t="inlineStr">
        <is>
          <t>epic</t>
        </is>
      </c>
      <c r="B17" t="inlineStr">
        <is>
          <t>epic-2</t>
        </is>
      </c>
      <c r="C17" t="inlineStr">
        <is>
          <t>3 stories</t>
        </is>
      </c>
      <c r="D17" t="inlineStr">
        <is>
          <t>done</t>
        </is>
      </c>
      <c r="E17" s="26" t="n">
        <v>46133</v>
      </c>
      <c r="F17" s="26" t="n">
        <v>46199</v>
      </c>
      <c r="G17" t="n">
        <v>67</v>
      </c>
      <c r="H17" t="inlineStr">
        <is>
          <t>git</t>
        </is>
      </c>
    </row>
    <row r="18">
      <c r="A18" t="inlineStr">
        <is>
          <t>story</t>
        </is>
      </c>
      <c r="B18" t="inlineStr">
        <is>
          <t>2-1-review-queue</t>
        </is>
      </c>
      <c r="C18" t="inlineStr">
        <is>
          <t>epic-2</t>
        </is>
      </c>
      <c r="D18" t="inlineStr">
        <is>
          <t>done</t>
        </is>
      </c>
      <c r="E18" s="26" t="n">
        <v>46133</v>
      </c>
      <c r="F18" s="26" t="n">
        <v>46154</v>
      </c>
      <c r="G18" t="n">
        <v>22</v>
      </c>
      <c r="H18" t="inlineStr">
        <is>
          <t>git</t>
        </is>
      </c>
    </row>
    <row r="19">
      <c r="A19" t="inlineStr">
        <is>
          <t>story</t>
        </is>
      </c>
      <c r="B19" t="inlineStr">
        <is>
          <t>2-2-approve-or-reject</t>
        </is>
      </c>
      <c r="C19" t="inlineStr">
        <is>
          <t>epic-2</t>
        </is>
      </c>
      <c r="D19" t="inlineStr">
        <is>
          <t>done</t>
        </is>
      </c>
      <c r="E19" s="26" t="n">
        <v>46155</v>
      </c>
      <c r="F19" s="26" t="n">
        <v>46176</v>
      </c>
      <c r="G19" t="n">
        <v>22</v>
      </c>
      <c r="H19" t="inlineStr">
        <is>
          <t>git</t>
        </is>
      </c>
    </row>
    <row r="20">
      <c r="A20" t="inlineStr">
        <is>
          <t>story</t>
        </is>
      </c>
      <c r="B20" t="inlineStr">
        <is>
          <t>2-3-notify-customer</t>
        </is>
      </c>
      <c r="C20" t="inlineStr">
        <is>
          <t>epic-2</t>
        </is>
      </c>
      <c r="D20" t="inlineStr">
        <is>
          <t>done</t>
        </is>
      </c>
      <c r="E20" s="26" t="n">
        <v>46177</v>
      </c>
      <c r="F20" s="26" t="n">
        <v>46199</v>
      </c>
      <c r="G20" t="n">
        <v>23</v>
      </c>
      <c r="H20" t="inlineStr">
        <is>
          <t>git</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4" customWidth="1" min="1" max="1"/>
    <col width="120" customWidth="1" min="2" max="2"/>
  </cols>
  <sheetData>
    <row r="1">
      <c r="A1" s="1" t="inlineStr">
        <is>
          <t>Sources, assumptions and gaps</t>
        </is>
      </c>
    </row>
    <row r="3">
      <c r="A3" s="2" t="inlineStr">
        <is>
          <t>Price basis</t>
        </is>
      </c>
    </row>
    <row r="4">
      <c r="B4" s="39" t="inlineStr">
        <is>
          <t>Azure Retail Prices API list prices (pay-as-you-go, no discounts), region uaenorth, USD, fetched 2026-09-28.</t>
        </is>
      </c>
    </row>
    <row r="5">
      <c r="B5" s="39" t="inlineStr">
        <is>
          <t>Rate card: Synthetic sample rates, not a real rate card, updated 2026-09-28.</t>
        </is>
      </c>
    </row>
    <row r="6">
      <c r="B6" s="39" t="inlineStr">
        <is>
          <t>Claude API list prices from https://platform.claude.com/docs/en/about-claude/pricing, read 2026-09-28, USD per million tokens. Claude Code on a subscription is billed per seat: this is the API-equivalent cost.</t>
        </is>
      </c>
    </row>
    <row r="7">
      <c r="B7" s="39" t="inlineStr">
        <is>
          <t>Horizon: 5 years of run after go-live, run costs rising 3% a year.</t>
        </is>
      </c>
    </row>
    <row r="9">
      <c r="A9" s="2" t="inlineStr">
        <is>
          <t>Gaps: not priced and not in any total</t>
        </is>
      </c>
    </row>
    <row r="10">
      <c r="B10" s="39" t="inlineStr">
        <is>
          <t>Disaster recovery: the spine does not say whether Prod has a second region.</t>
        </is>
      </c>
    </row>
    <row r="11">
      <c r="B11" s="39" t="inlineStr">
        <is>
          <t>Azure SQL backup retention beyond the default is not stated.</t>
        </is>
      </c>
    </row>
    <row r="13">
      <c r="A13" s="2" t="inlineStr">
        <is>
          <t>Assumptions and owner statements (not from the BMad artifacts)</t>
        </is>
      </c>
    </row>
    <row r="14">
      <c r="B14" s="39" t="inlineStr">
        <is>
          <t>Dev / Document storage: assumption: 50 GB of test documents</t>
        </is>
      </c>
    </row>
    <row r="15">
      <c r="B15" s="39" t="inlineStr">
        <is>
          <t>Test / Document storage: assumption: 50 GB of test documents</t>
        </is>
      </c>
    </row>
    <row r="16">
      <c r="B16" s="39" t="inlineStr">
        <is>
          <t>Team / Project Manager: owner: Delivery Manager, 2026-09-28</t>
        </is>
      </c>
    </row>
    <row r="17">
      <c r="B17" s="39" t="inlineStr">
        <is>
          <t>Team / Solution Architect: owner: Delivery Manager, 2026-09-28</t>
        </is>
      </c>
    </row>
    <row r="18">
      <c r="B18" s="39" t="inlineStr">
        <is>
          <t>Team / QA Engineer: owner: Delivery Manager, 2026-09-28</t>
        </is>
      </c>
    </row>
    <row r="19">
      <c r="B19" s="39" t="inlineStr">
        <is>
          <t>Other / Penetration test: owner: Security Lead, 2026-09-28</t>
        </is>
      </c>
    </row>
    <row r="20">
      <c r="B20" s="39" t="inlineStr">
        <is>
          <t>Other / GitHub Enterprise seats (12 months): assumption: 7 seats at list price</t>
        </is>
      </c>
    </row>
    <row r="21">
      <c r="B21" s="39" t="inlineStr">
        <is>
          <t>Run cost / Azure support plan (Standard): assumption: Standard support at list price</t>
        </is>
      </c>
    </row>
    <row r="22">
      <c r="B22" s="39" t="inlineStr">
        <is>
          <t>Run cost / GitHub Enterprise seats (4 for support): assumption: 4 seats at list price</t>
        </is>
      </c>
    </row>
    <row r="23">
      <c r="B23" s="39" t="inlineStr">
        <is>
          <t>Support / Developer: owner: Delivery Manager, 2026-09-28</t>
        </is>
      </c>
    </row>
    <row r="24">
      <c r="B24" s="39" t="inlineStr">
        <is>
          <t>Support / DevOps Engineer: owner: Delivery Manager, 2026-09-28</t>
        </is>
      </c>
    </row>
    <row r="25">
      <c r="B25" s="39" t="inlineStr">
        <is>
          <t>Support / QA Engineer: owner: Delivery Manager, 2026-09-28</t>
        </is>
      </c>
    </row>
    <row r="26">
      <c r="B26" s="39" t="inlineStr">
        <is>
          <t>Phase budget / governance (Jules): owner: Delivery Manager (synthetic), 2026-09-28</t>
        </is>
      </c>
    </row>
    <row r="27">
      <c r="B27" s="39" t="inlineStr">
        <is>
          <t>Phase budget / architecture docs (Da Vinci): owner: Delivery Manager (synthetic), 2026-09-28</t>
        </is>
      </c>
    </row>
    <row r="28">
      <c r="B28" s="39" t="inlineStr">
        <is>
          <t>Phase budget / test design: owner: Delivery Manager (synthetic), 2026-09-28</t>
        </is>
      </c>
    </row>
    <row r="30">
      <c r="A30" s="2" t="inlineStr">
        <is>
          <t>Stamp: built 2026-09-28T15:18:38; sha256 of each cited file</t>
        </is>
      </c>
    </row>
    <row r="31">
      <c r="B31" s="39" t="inlineStr">
        <is>
          <t>_bmad-output/planning-artifacts/architecture/falcon/ARCHITECTURE-SPINE.md  888bd47cdcac</t>
        </is>
      </c>
    </row>
    <row r="32">
      <c r="B32" s="39" t="inlineStr">
        <is>
          <t>_bmad-output/planning-artifacts/epics.md  68f432fd10b0</t>
        </is>
      </c>
    </row>
    <row r="33">
      <c r="B33" s="39" t="inlineStr">
        <is>
          <t>_bmad-output/specs/SPEC.md  13119f5f0756</t>
        </is>
      </c>
    </row>
    <row r="34">
      <c r="B34" s="39" t="inlineStr">
        <is>
          <t>token_usage/claude_usage.csv  e972364ca316</t>
        </is>
      </c>
    </row>
    <row r="35">
      <c r="B35" s="39" t="inlineStr">
        <is>
          <t>claude-prices.json  0dcde61aa110</t>
        </is>
      </c>
    </row>
    <row r="36">
      <c r="B36" s="39" t="inlineStr">
        <is>
          <t>token_usage/project_timeline.csv  08bf946524c1</t>
        </is>
      </c>
    </row>
    <row r="37">
      <c r="B37" s="39" t="inlineStr">
        <is>
          <t>token_usage/claude_usage_daily.csv  2a1ddfa62ec0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2026-09-28T07:18:38Z</dcterms:created>
  <dcterms:modified xsi:type="dcterms:W3CDTF">2026-09-28T07:18:38Z</dcterms:modified>
</cp:coreProperties>
</file>